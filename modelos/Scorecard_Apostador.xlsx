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Calculadora" sheetId="2" state="visible" r:id="rId4"/>
    <sheet name="Pontos de corte" sheetId="3" state="visible" r:id="rId5"/>
    <sheet name="Ficha do model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<sst xmlns="http://schemas.openxmlformats.org/spreadsheetml/2006/main" count="165" uniqueCount="131">
  <si>
    <t xml:space="preserve">Scorecard — propensao a ser apostador</t>
  </si>
  <si>
    <t xml:space="preserve">Some os pontos das faixas em que a pessoa se enquadra. O total e o score. A aba Calculadora faz isso automaticamente.</t>
  </si>
  <si>
    <t xml:space="preserve">Variavel</t>
  </si>
  <si>
    <t xml:space="preserve">Faixa</t>
  </si>
  <si>
    <t xml:space="preserve">Pessoas</t>
  </si>
  <si>
    <t xml:space="preserve">Apostadores</t>
  </si>
  <si>
    <t xml:space="preserve">Taxa</t>
  </si>
  <si>
    <t xml:space="preserve">WOE</t>
  </si>
  <si>
    <t xml:space="preserve">Coeficiente</t>
  </si>
  <si>
    <t xml:space="preserve">Pontos</t>
  </si>
  <si>
    <t xml:space="preserve">faixa_idade</t>
  </si>
  <si>
    <t xml:space="preserve">18-24</t>
  </si>
  <si>
    <t xml:space="preserve">25-34</t>
  </si>
  <si>
    <t xml:space="preserve">35-44</t>
  </si>
  <si>
    <t xml:space="preserve">45-54</t>
  </si>
  <si>
    <t xml:space="preserve">55-64</t>
  </si>
  <si>
    <t xml:space="preserve">65+</t>
  </si>
  <si>
    <t xml:space="preserve">faixa_renda</t>
  </si>
  <si>
    <t xml:space="preserve">1 a 2 SM</t>
  </si>
  <si>
    <t xml:space="preserve">2 a 3 SM</t>
  </si>
  <si>
    <t xml:space="preserve">3 a 5 SM</t>
  </si>
  <si>
    <t xml:space="preserve">Acima de 5 SM</t>
  </si>
  <si>
    <t xml:space="preserve">Ate 1 SM</t>
  </si>
  <si>
    <t xml:space="preserve">ocupacao</t>
  </si>
  <si>
    <t xml:space="preserve">Aposentado</t>
  </si>
  <si>
    <t xml:space="preserve">Autonomo ou informal</t>
  </si>
  <si>
    <t xml:space="preserve">CLT</t>
  </si>
  <si>
    <t xml:space="preserve">Desempregado</t>
  </si>
  <si>
    <t xml:space="preserve">Empresario</t>
  </si>
  <si>
    <t xml:space="preserve">Servidor publico</t>
  </si>
  <si>
    <t xml:space="preserve">flag_beneficio</t>
  </si>
  <si>
    <t xml:space="preserve">Nao recebe</t>
  </si>
  <si>
    <t xml:space="preserve">Recebe</t>
  </si>
  <si>
    <t xml:space="preserve">sexo</t>
  </si>
  <si>
    <t xml:space="preserve">Feminino</t>
  </si>
  <si>
    <t xml:space="preserve">Masculino</t>
  </si>
  <si>
    <t xml:space="preserve">escolaridade</t>
  </si>
  <si>
    <t xml:space="preserve">Fundamental completo</t>
  </si>
  <si>
    <t xml:space="preserve">Fundamental incompleto</t>
  </si>
  <si>
    <t xml:space="preserve">Medio completo</t>
  </si>
  <si>
    <t xml:space="preserve">Superior completo</t>
  </si>
  <si>
    <t xml:space="preserve">Superior incompleto</t>
  </si>
  <si>
    <t xml:space="preserve">Escala do score</t>
  </si>
  <si>
    <t xml:space="preserve">- PDO = 50: a cada 50 pontos, a chance de ser apostador dobra.</t>
  </si>
  <si>
    <t xml:space="preserve">- Score 500 = a prevalencia da base (13.1%).</t>
  </si>
  <si>
    <t xml:space="preserve">- Fator = 72.1348 | Offset = 636.6556</t>
  </si>
  <si>
    <t xml:space="preserve">- Probabilidade = 1 / (1 + EXP(-((score - offset) / fator)))</t>
  </si>
  <si>
    <t xml:space="preserve">- Score MAIOR = propensao MAIOR. E o inverso da convencao de credito — atencao ao ler.</t>
  </si>
  <si>
    <t xml:space="preserve">Calculadora de score</t>
  </si>
  <si>
    <t xml:space="preserve">Preencha as celulas amarelas com uma das faixas validas listadas a direita.</t>
  </si>
  <si>
    <t xml:space="preserve">Faixa (preencha)</t>
  </si>
  <si>
    <t xml:space="preserve">Faixas validas</t>
  </si>
  <si>
    <t xml:space="preserve">18-24 | 25-34 | 35-44 | 45-54 | 55-64 | 65+</t>
  </si>
  <si>
    <t xml:space="preserve">1 a 2 SM | 2 a 3 SM | 3 a 5 SM | Acima de 5 SM | Ate 1 SM</t>
  </si>
  <si>
    <t xml:space="preserve">Aposentado | Autonomo ou informal | CLT | Desempregado | Empresario | Servidor publico</t>
  </si>
  <si>
    <t xml:space="preserve">Nao recebe | Recebe</t>
  </si>
  <si>
    <t xml:space="preserve">Feminino | Masculino</t>
  </si>
  <si>
    <t xml:space="preserve">Fundamental completo | Fundamental incompleto | Medio completo | Superior completo | Superior incompleto</t>
  </si>
  <si>
    <t xml:space="preserve">SCORE TOTAL</t>
  </si>
  <si>
    <t xml:space="preserve">Probabilidade de ser apostador</t>
  </si>
  <si>
    <t xml:space="preserve">Decisao no corte sugerido (510)</t>
  </si>
  <si>
    <t xml:space="preserve">A linha preenchida e um exemplo: homem, 25-34, 1 a 2 SM, autonomo, medio completo, recebe beneficio.</t>
  </si>
  <si>
    <t xml:space="preserve">Pontos de corte — amostra de teste</t>
  </si>
  <si>
    <t xml:space="preserve">Precisao = dos abordados, quantos sao apostadores. Recall = dos apostadores, quantos foram capturados.</t>
  </si>
  <si>
    <t xml:space="preserve">Corte</t>
  </si>
  <si>
    <t xml:space="preserve">% da base</t>
  </si>
  <si>
    <t xml:space="preserve">Precisao</t>
  </si>
  <si>
    <t xml:space="preserve">Recall</t>
  </si>
  <si>
    <t xml:space="preserve">Especificidade</t>
  </si>
  <si>
    <t xml:space="preserve">Lift</t>
  </si>
  <si>
    <t xml:space="preserve">F1</t>
  </si>
  <si>
    <t xml:space="preserve">Youden</t>
  </si>
  <si>
    <t xml:space="preserve">VP</t>
  </si>
  <si>
    <t xml:space="preserve">FP</t>
  </si>
  <si>
    <t xml:space="preserve">FN</t>
  </si>
  <si>
    <t xml:space="preserve">VN</t>
  </si>
  <si>
    <t xml:space="preserve">Ficha do modelo</t>
  </si>
  <si>
    <t xml:space="preserve">Objetivo</t>
  </si>
  <si>
    <t xml:space="preserve">Estimar a probabilidade de uma pessoa ser apostadora a partir de variaveis socioeconomicas</t>
  </si>
  <si>
    <t xml:space="preserve">Tecnica</t>
  </si>
  <si>
    <t xml:space="preserve">Regressao logistica sobre WOE, convertida em scorecard de pontos</t>
  </si>
  <si>
    <t xml:space="preserve">Alvo</t>
  </si>
  <si>
    <t xml:space="preserve">apostador = 1 se apostou nos ultimos 30 dias</t>
  </si>
  <si>
    <t xml:space="preserve">Origem dos dados</t>
  </si>
  <si>
    <t xml:space="preserve">BASE SINTETICA — dados ficticios, calibrados a prevalencias publicadas</t>
  </si>
  <si>
    <t xml:space="preserve">Ancoras de calibracao</t>
  </si>
  <si>
    <t xml:space="preserve">DataSenado jun/2024 (n=21.808); PoderData set/2025 (n=2.500); BCB EE119 ago/2024</t>
  </si>
  <si>
    <t xml:space="preserve">Amostra de treino</t>
  </si>
  <si>
    <t xml:space="preserve">42.000 pessoas</t>
  </si>
  <si>
    <t xml:space="preserve">Amostra de teste</t>
  </si>
  <si>
    <t xml:space="preserve">18.000 pessoas</t>
  </si>
  <si>
    <t xml:space="preserve">Safra futura</t>
  </si>
  <si>
    <t xml:space="preserve">20.000 pessoas</t>
  </si>
  <si>
    <t xml:space="preserve">Prevalencia (treino)</t>
  </si>
  <si>
    <t xml:space="preserve">13.07%</t>
  </si>
  <si>
    <t xml:space="preserve">Prevalencia (safra futura)</t>
  </si>
  <si>
    <t xml:space="preserve">15.87%</t>
  </si>
  <si>
    <t xml:space="preserve">Variaveis testadas</t>
  </si>
  <si>
    <t xml:space="preserve">10</t>
  </si>
  <si>
    <t xml:space="preserve">Variaveis no modelo</t>
  </si>
  <si>
    <t xml:space="preserve">6: faixa_idade, faixa_renda, ocupacao, flag_beneficio, sexo, escolaridade</t>
  </si>
  <si>
    <t xml:space="preserve">Descartadas por IV</t>
  </si>
  <si>
    <t xml:space="preserve">regiao, porte_municipio, estado_civil, faixa_dependentes (IV &lt; 0.02)</t>
  </si>
  <si>
    <t xml:space="preserve">AUC (teste)</t>
  </si>
  <si>
    <t xml:space="preserve">0.6564</t>
  </si>
  <si>
    <t xml:space="preserve">Gini (teste)</t>
  </si>
  <si>
    <t xml:space="preserve">0.3128</t>
  </si>
  <si>
    <t xml:space="preserve">KS (teste)</t>
  </si>
  <si>
    <t xml:space="preserve">0.2228</t>
  </si>
  <si>
    <t xml:space="preserve">Brier (teste)</t>
  </si>
  <si>
    <t xml:space="preserve">0.1093</t>
  </si>
  <si>
    <t xml:space="preserve">AUC (safra futura)</t>
  </si>
  <si>
    <t xml:space="preserve">0.6549</t>
  </si>
  <si>
    <t xml:space="preserve">PSI treino x teste</t>
  </si>
  <si>
    <t xml:space="preserve">0.0008</t>
  </si>
  <si>
    <t xml:space="preserve">PSI treino x safra futura</t>
  </si>
  <si>
    <t xml:space="preserve">0.0104</t>
  </si>
  <si>
    <t xml:space="preserve">Escala</t>
  </si>
  <si>
    <t xml:space="preserve">PDO 50, score base 500, fator 72.1348, offset 636.6556</t>
  </si>
  <si>
    <t xml:space="preserve">Faixa observada do score</t>
  </si>
  <si>
    <t xml:space="preserve">377 a 605</t>
  </si>
  <si>
    <t xml:space="preserve">Corte estatistico (KS/Youden)</t>
  </si>
  <si>
    <t xml:space="preserve">510</t>
  </si>
  <si>
    <t xml:space="preserve">Desvio de calibracao na safra</t>
  </si>
  <si>
    <t xml:space="preserve">-0.0212 (previsto menos observado)</t>
  </si>
  <si>
    <t xml:space="preserve">Correcao sugerida</t>
  </si>
  <si>
    <t xml:space="preserve">deslocar o intercepto em +0.1756, equivalente a +12.7 pontos no score</t>
  </si>
  <si>
    <t xml:space="preserve">Limitacao principal</t>
  </si>
  <si>
    <t xml:space="preserve">Score socioeconomico ordena, mas separa pouco (KS ~22). Nao serve para decisao individual.</t>
  </si>
  <si>
    <t xml:space="preserve">Uso NAO recomendado</t>
  </si>
  <si>
    <t xml:space="preserve">Negar credito, precificar ou restringir produto com base neste score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</si>
</sst>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"/>
    <numFmt numFmtId="168" formatCode="0"/>
    <numFmt numFmtId="169" formatCode="0.00%"/>
    <numFmt numFmtId="170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514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8F0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F0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v>5839</v>
      </c>
      <c r="D5" s="5" t="n">
        <v>1217</v>
      </c>
      <c r="E5" s="6" t="n">
        <v>0.208426100359651</v>
      </c>
      <c r="F5" s="4" t="n">
        <v>0.5598</v>
      </c>
      <c r="G5" s="4" t="n">
        <v>0.761</v>
      </c>
      <c r="H5" s="7" t="n">
        <v>114.1</v>
      </c>
    </row>
    <row r="6" customFormat="false" ht="15" hidden="false" customHeight="false" outlineLevel="0" collapsed="false">
      <c r="A6" s="4" t="s">
        <v>10</v>
      </c>
      <c r="B6" s="4" t="s">
        <v>12</v>
      </c>
      <c r="C6" s="5" t="n">
        <v>9231</v>
      </c>
      <c r="D6" s="5" t="n">
        <v>1454</v>
      </c>
      <c r="E6" s="6" t="n">
        <v>0.157512728848445</v>
      </c>
      <c r="F6" s="4" t="n">
        <v>0.2174</v>
      </c>
      <c r="G6" s="4" t="n">
        <v>0.761</v>
      </c>
      <c r="H6" s="7" t="n">
        <v>95.3</v>
      </c>
    </row>
    <row r="7" customFormat="false" ht="15" hidden="false" customHeight="false" outlineLevel="0" collapsed="false">
      <c r="A7" s="4" t="s">
        <v>10</v>
      </c>
      <c r="B7" s="4" t="s">
        <v>13</v>
      </c>
      <c r="C7" s="5" t="n">
        <v>8773</v>
      </c>
      <c r="D7" s="5" t="n">
        <v>1129</v>
      </c>
      <c r="E7" s="6" t="n">
        <v>0.128690299783426</v>
      </c>
      <c r="F7" s="4" t="n">
        <v>-0.0182</v>
      </c>
      <c r="G7" s="4" t="n">
        <v>0.761</v>
      </c>
      <c r="H7" s="7" t="n">
        <v>82.3</v>
      </c>
    </row>
    <row r="8" customFormat="false" ht="15" hidden="false" customHeight="false" outlineLevel="0" collapsed="false">
      <c r="A8" s="4" t="s">
        <v>10</v>
      </c>
      <c r="B8" s="4" t="s">
        <v>14</v>
      </c>
      <c r="C8" s="5" t="n">
        <v>7260</v>
      </c>
      <c r="D8" s="5" t="n">
        <v>802</v>
      </c>
      <c r="E8" s="6" t="n">
        <v>0.110468319559229</v>
      </c>
      <c r="F8" s="4" t="n">
        <v>-0.1914</v>
      </c>
      <c r="G8" s="4" t="n">
        <v>0.761</v>
      </c>
      <c r="H8" s="7" t="n">
        <v>72.8</v>
      </c>
    </row>
    <row r="9" customFormat="false" ht="15" hidden="false" customHeight="false" outlineLevel="0" collapsed="false">
      <c r="A9" s="4" t="s">
        <v>10</v>
      </c>
      <c r="B9" s="4" t="s">
        <v>15</v>
      </c>
      <c r="C9" s="5" t="n">
        <v>5918</v>
      </c>
      <c r="D9" s="5" t="n">
        <v>557</v>
      </c>
      <c r="E9" s="6" t="n">
        <v>0.0941196350118283</v>
      </c>
      <c r="F9" s="4" t="n">
        <v>-0.3696</v>
      </c>
      <c r="G9" s="4" t="n">
        <v>0.761</v>
      </c>
      <c r="H9" s="7" t="n">
        <v>63</v>
      </c>
    </row>
    <row r="10" customFormat="false" ht="15" hidden="false" customHeight="false" outlineLevel="0" collapsed="false">
      <c r="A10" s="4" t="s">
        <v>10</v>
      </c>
      <c r="B10" s="4" t="s">
        <v>16</v>
      </c>
      <c r="C10" s="5" t="n">
        <v>4979</v>
      </c>
      <c r="D10" s="5" t="n">
        <v>332</v>
      </c>
      <c r="E10" s="6" t="n">
        <v>0.066680056236192</v>
      </c>
      <c r="F10" s="4" t="n">
        <v>-0.7435</v>
      </c>
      <c r="G10" s="4" t="n">
        <v>0.761</v>
      </c>
      <c r="H10" s="7" t="n">
        <v>42.5</v>
      </c>
    </row>
    <row r="11" customFormat="false" ht="15" hidden="false" customHeight="false" outlineLevel="0" collapsed="false">
      <c r="A11" s="4" t="s">
        <v>17</v>
      </c>
      <c r="B11" s="4" t="s">
        <v>18</v>
      </c>
      <c r="C11" s="5" t="n">
        <v>11141</v>
      </c>
      <c r="D11" s="5" t="n">
        <v>1731</v>
      </c>
      <c r="E11" s="6" t="n">
        <v>0.155372049187685</v>
      </c>
      <c r="F11" s="4" t="n">
        <v>0.2012</v>
      </c>
      <c r="G11" s="4" t="n">
        <v>0.4565</v>
      </c>
      <c r="H11" s="7" t="n">
        <v>90</v>
      </c>
    </row>
    <row r="12" customFormat="false" ht="15" hidden="false" customHeight="false" outlineLevel="0" collapsed="false">
      <c r="A12" s="4" t="s">
        <v>17</v>
      </c>
      <c r="B12" s="4" t="s">
        <v>19</v>
      </c>
      <c r="C12" s="5" t="n">
        <v>7784</v>
      </c>
      <c r="D12" s="5" t="n">
        <v>941</v>
      </c>
      <c r="E12" s="6" t="n">
        <v>0.120889003083248</v>
      </c>
      <c r="F12" s="4" t="n">
        <v>-0.0895</v>
      </c>
      <c r="G12" s="4" t="n">
        <v>0.4565</v>
      </c>
      <c r="H12" s="7" t="n">
        <v>80.4</v>
      </c>
    </row>
    <row r="13" customFormat="false" ht="15" hidden="false" customHeight="false" outlineLevel="0" collapsed="false">
      <c r="A13" s="4" t="s">
        <v>17</v>
      </c>
      <c r="B13" s="4" t="s">
        <v>20</v>
      </c>
      <c r="C13" s="5" t="n">
        <v>8280</v>
      </c>
      <c r="D13" s="5" t="n">
        <v>847</v>
      </c>
      <c r="E13" s="6" t="n">
        <v>0.102294685990338</v>
      </c>
      <c r="F13" s="4" t="n">
        <v>-0.2774</v>
      </c>
      <c r="G13" s="4" t="n">
        <v>0.4565</v>
      </c>
      <c r="H13" s="7" t="n">
        <v>74.2</v>
      </c>
    </row>
    <row r="14" customFormat="false" ht="15" hidden="false" customHeight="false" outlineLevel="0" collapsed="false">
      <c r="A14" s="4" t="s">
        <v>17</v>
      </c>
      <c r="B14" s="4" t="s">
        <v>21</v>
      </c>
      <c r="C14" s="5" t="n">
        <v>8103</v>
      </c>
      <c r="D14" s="5" t="n">
        <v>636</v>
      </c>
      <c r="E14" s="6" t="n">
        <v>0.078489448352462</v>
      </c>
      <c r="F14" s="4" t="n">
        <v>-0.5683</v>
      </c>
      <c r="G14" s="4" t="n">
        <v>0.4565</v>
      </c>
      <c r="H14" s="7" t="n">
        <v>64.6</v>
      </c>
    </row>
    <row r="15" customFormat="false" ht="15" hidden="false" customHeight="false" outlineLevel="0" collapsed="false">
      <c r="A15" s="4" t="s">
        <v>17</v>
      </c>
      <c r="B15" s="4" t="s">
        <v>22</v>
      </c>
      <c r="C15" s="5" t="n">
        <v>6692</v>
      </c>
      <c r="D15" s="5" t="n">
        <v>1336</v>
      </c>
      <c r="E15" s="6" t="n">
        <v>0.199641362821279</v>
      </c>
      <c r="F15" s="4" t="n">
        <v>0.5058</v>
      </c>
      <c r="G15" s="4" t="n">
        <v>0.4565</v>
      </c>
      <c r="H15" s="7" t="n">
        <v>100</v>
      </c>
    </row>
    <row r="16" customFormat="false" ht="15" hidden="false" customHeight="false" outlineLevel="0" collapsed="false">
      <c r="A16" s="4" t="s">
        <v>23</v>
      </c>
      <c r="B16" s="4" t="s">
        <v>24</v>
      </c>
      <c r="C16" s="5" t="n">
        <v>8984</v>
      </c>
      <c r="D16" s="5" t="n">
        <v>759</v>
      </c>
      <c r="E16" s="6" t="n">
        <v>0.0844835262689225</v>
      </c>
      <c r="F16" s="4" t="n">
        <v>-0.4883</v>
      </c>
      <c r="G16" s="4" t="n">
        <v>0.4999</v>
      </c>
      <c r="H16" s="7" t="n">
        <v>65.7</v>
      </c>
    </row>
    <row r="17" customFormat="false" ht="15" hidden="false" customHeight="false" outlineLevel="0" collapsed="false">
      <c r="A17" s="4" t="s">
        <v>23</v>
      </c>
      <c r="B17" s="4" t="s">
        <v>25</v>
      </c>
      <c r="C17" s="5" t="n">
        <v>12103</v>
      </c>
      <c r="D17" s="5" t="n">
        <v>1882</v>
      </c>
      <c r="E17" s="6" t="n">
        <v>0.155498636701644</v>
      </c>
      <c r="F17" s="4" t="n">
        <v>0.2021</v>
      </c>
      <c r="G17" s="4" t="n">
        <v>0.4999</v>
      </c>
      <c r="H17" s="7" t="n">
        <v>90.6</v>
      </c>
    </row>
    <row r="18" customFormat="false" ht="15" hidden="false" customHeight="false" outlineLevel="0" collapsed="false">
      <c r="A18" s="4" t="s">
        <v>23</v>
      </c>
      <c r="B18" s="4" t="s">
        <v>26</v>
      </c>
      <c r="C18" s="5" t="n">
        <v>12628</v>
      </c>
      <c r="D18" s="5" t="n">
        <v>1600</v>
      </c>
      <c r="E18" s="6" t="n">
        <v>0.126702565726956</v>
      </c>
      <c r="F18" s="4" t="n">
        <v>-0.0362</v>
      </c>
      <c r="G18" s="4" t="n">
        <v>0.4999</v>
      </c>
      <c r="H18" s="7" t="n">
        <v>82</v>
      </c>
    </row>
    <row r="19" customFormat="false" ht="15" hidden="false" customHeight="false" outlineLevel="0" collapsed="false">
      <c r="A19" s="4" t="s">
        <v>23</v>
      </c>
      <c r="B19" s="4" t="s">
        <v>27</v>
      </c>
      <c r="C19" s="5" t="n">
        <v>4644</v>
      </c>
      <c r="D19" s="5" t="n">
        <v>893</v>
      </c>
      <c r="E19" s="6" t="n">
        <v>0.19229112833764</v>
      </c>
      <c r="F19" s="4" t="n">
        <v>0.4592</v>
      </c>
      <c r="G19" s="4" t="n">
        <v>0.4999</v>
      </c>
      <c r="H19" s="7" t="n">
        <v>99.9</v>
      </c>
    </row>
    <row r="20" customFormat="false" ht="15" hidden="false" customHeight="false" outlineLevel="0" collapsed="false">
      <c r="A20" s="4" t="s">
        <v>23</v>
      </c>
      <c r="B20" s="4" t="s">
        <v>28</v>
      </c>
      <c r="C20" s="5" t="n">
        <v>1555</v>
      </c>
      <c r="D20" s="5" t="n">
        <v>153</v>
      </c>
      <c r="E20" s="6" t="n">
        <v>0.0983922829581993</v>
      </c>
      <c r="F20" s="4" t="n">
        <v>-0.3183</v>
      </c>
      <c r="G20" s="4" t="n">
        <v>0.4999</v>
      </c>
      <c r="H20" s="7" t="n">
        <v>71.9</v>
      </c>
    </row>
    <row r="21" customFormat="false" ht="15" hidden="false" customHeight="false" outlineLevel="0" collapsed="false">
      <c r="A21" s="4" t="s">
        <v>23</v>
      </c>
      <c r="B21" s="4" t="s">
        <v>29</v>
      </c>
      <c r="C21" s="5" t="n">
        <v>2086</v>
      </c>
      <c r="D21" s="5" t="n">
        <v>204</v>
      </c>
      <c r="E21" s="6" t="n">
        <v>0.0977948226270374</v>
      </c>
      <c r="F21" s="4" t="n">
        <v>-0.3258</v>
      </c>
      <c r="G21" s="4" t="n">
        <v>0.4999</v>
      </c>
      <c r="H21" s="7" t="n">
        <v>71.6</v>
      </c>
    </row>
    <row r="22" customFormat="false" ht="15" hidden="false" customHeight="false" outlineLevel="0" collapsed="false">
      <c r="A22" s="4" t="s">
        <v>30</v>
      </c>
      <c r="B22" s="4" t="s">
        <v>31</v>
      </c>
      <c r="C22" s="5" t="n">
        <v>33154</v>
      </c>
      <c r="D22" s="5" t="n">
        <v>3789</v>
      </c>
      <c r="E22" s="6" t="n">
        <v>0.114284852506485</v>
      </c>
      <c r="F22" s="4" t="n">
        <v>-0.1533</v>
      </c>
      <c r="G22" s="4" t="n">
        <v>0.3659</v>
      </c>
      <c r="H22" s="7" t="n">
        <v>79.3</v>
      </c>
    </row>
    <row r="23" customFormat="false" ht="15" hidden="false" customHeight="false" outlineLevel="0" collapsed="false">
      <c r="A23" s="4" t="s">
        <v>30</v>
      </c>
      <c r="B23" s="4" t="s">
        <v>32</v>
      </c>
      <c r="C23" s="5" t="n">
        <v>8846</v>
      </c>
      <c r="D23" s="5" t="n">
        <v>1702</v>
      </c>
      <c r="E23" s="6" t="n">
        <v>0.19240334614515</v>
      </c>
      <c r="F23" s="4" t="n">
        <v>0.46</v>
      </c>
      <c r="G23" s="4" t="n">
        <v>0.3659</v>
      </c>
      <c r="H23" s="7" t="n">
        <v>95.5</v>
      </c>
    </row>
    <row r="24" customFormat="false" ht="15" hidden="false" customHeight="false" outlineLevel="0" collapsed="false">
      <c r="A24" s="4" t="s">
        <v>33</v>
      </c>
      <c r="B24" s="4" t="s">
        <v>34</v>
      </c>
      <c r="C24" s="5" t="n">
        <v>21758</v>
      </c>
      <c r="D24" s="5" t="n">
        <v>2228</v>
      </c>
      <c r="E24" s="6" t="n">
        <v>0.102399117565953</v>
      </c>
      <c r="F24" s="4" t="n">
        <v>-0.2764</v>
      </c>
      <c r="G24" s="4" t="n">
        <v>1.0384</v>
      </c>
      <c r="H24" s="7" t="n">
        <v>62.6</v>
      </c>
    </row>
    <row r="25" customFormat="false" ht="15" hidden="false" customHeight="false" outlineLevel="0" collapsed="false">
      <c r="A25" s="4" t="s">
        <v>33</v>
      </c>
      <c r="B25" s="4" t="s">
        <v>35</v>
      </c>
      <c r="C25" s="5" t="n">
        <v>20242</v>
      </c>
      <c r="D25" s="5" t="n">
        <v>3263</v>
      </c>
      <c r="E25" s="6" t="n">
        <v>0.161199486216777</v>
      </c>
      <c r="F25" s="4" t="n">
        <v>0.2451</v>
      </c>
      <c r="G25" s="4" t="n">
        <v>1.0384</v>
      </c>
      <c r="H25" s="7" t="n">
        <v>101.7</v>
      </c>
    </row>
    <row r="26" customFormat="false" ht="15" hidden="false" customHeight="false" outlineLevel="0" collapsed="false">
      <c r="A26" s="4" t="s">
        <v>36</v>
      </c>
      <c r="B26" s="4" t="s">
        <v>37</v>
      </c>
      <c r="C26" s="5" t="n">
        <v>5346</v>
      </c>
      <c r="D26" s="5" t="n">
        <v>795</v>
      </c>
      <c r="E26" s="6" t="n">
        <v>0.148709315375982</v>
      </c>
      <c r="F26" s="4" t="n">
        <v>0.1498</v>
      </c>
      <c r="G26" s="4" t="n">
        <v>0.648</v>
      </c>
      <c r="H26" s="7" t="n">
        <v>90.3</v>
      </c>
    </row>
    <row r="27" customFormat="false" ht="15" hidden="false" customHeight="false" outlineLevel="0" collapsed="false">
      <c r="A27" s="4" t="s">
        <v>36</v>
      </c>
      <c r="B27" s="4" t="s">
        <v>38</v>
      </c>
      <c r="C27" s="5" t="n">
        <v>11878</v>
      </c>
      <c r="D27" s="5" t="n">
        <v>1885</v>
      </c>
      <c r="E27" s="6" t="n">
        <v>0.158696750294662</v>
      </c>
      <c r="F27" s="4" t="n">
        <v>0.2263</v>
      </c>
      <c r="G27" s="4" t="n">
        <v>0.648</v>
      </c>
      <c r="H27" s="7" t="n">
        <v>93.9</v>
      </c>
    </row>
    <row r="28" customFormat="false" ht="15" hidden="false" customHeight="false" outlineLevel="0" collapsed="false">
      <c r="A28" s="4" t="s">
        <v>36</v>
      </c>
      <c r="B28" s="4" t="s">
        <v>39</v>
      </c>
      <c r="C28" s="5" t="n">
        <v>14304</v>
      </c>
      <c r="D28" s="5" t="n">
        <v>1790</v>
      </c>
      <c r="E28" s="6" t="n">
        <v>0.125139821029083</v>
      </c>
      <c r="F28" s="4" t="n">
        <v>-0.0503</v>
      </c>
      <c r="G28" s="4" t="n">
        <v>0.648</v>
      </c>
      <c r="H28" s="7" t="n">
        <v>81</v>
      </c>
    </row>
    <row r="29" customFormat="false" ht="15" hidden="false" customHeight="false" outlineLevel="0" collapsed="false">
      <c r="A29" s="4" t="s">
        <v>36</v>
      </c>
      <c r="B29" s="4" t="s">
        <v>40</v>
      </c>
      <c r="C29" s="5" t="n">
        <v>6659</v>
      </c>
      <c r="D29" s="5" t="n">
        <v>583</v>
      </c>
      <c r="E29" s="6" t="n">
        <v>0.0875506832857786</v>
      </c>
      <c r="F29" s="4" t="n">
        <v>-0.4491</v>
      </c>
      <c r="G29" s="4" t="n">
        <v>0.648</v>
      </c>
      <c r="H29" s="7" t="n">
        <v>62.3</v>
      </c>
    </row>
    <row r="30" customFormat="false" ht="15" hidden="false" customHeight="false" outlineLevel="0" collapsed="false">
      <c r="A30" s="4" t="s">
        <v>36</v>
      </c>
      <c r="B30" s="4" t="s">
        <v>41</v>
      </c>
      <c r="C30" s="5" t="n">
        <v>3813</v>
      </c>
      <c r="D30" s="5" t="n">
        <v>438</v>
      </c>
      <c r="E30" s="6" t="n">
        <v>0.114870180959874</v>
      </c>
      <c r="F30" s="4" t="n">
        <v>-0.1469</v>
      </c>
      <c r="G30" s="4" t="n">
        <v>0.648</v>
      </c>
      <c r="H30" s="7" t="n">
        <v>76.5</v>
      </c>
    </row>
    <row r="32" customFormat="false" ht="15" hidden="false" customHeight="false" outlineLevel="0" collapsed="false">
      <c r="A32" s="8" t="s">
        <v>42</v>
      </c>
    </row>
    <row r="33" customFormat="false" ht="15" hidden="false" customHeight="false" outlineLevel="0" collapsed="false">
      <c r="A33" s="9" t="s">
        <v>43</v>
      </c>
    </row>
    <row r="34" customFormat="false" ht="15" hidden="false" customHeight="false" outlineLevel="0" collapsed="false">
      <c r="A34" s="9" t="s">
        <v>44</v>
      </c>
    </row>
    <row r="35" customFormat="false" ht="15" hidden="false" customHeight="false" outlineLevel="0" collapsed="false">
      <c r="A35" s="9" t="s">
        <v>45</v>
      </c>
    </row>
    <row r="36" customFormat="false" ht="15" hidden="false" customHeight="false" outlineLevel="0" collapsed="false">
      <c r="A36" s="9" t="s">
        <v>46</v>
      </c>
    </row>
    <row r="37" customFormat="false" ht="15" hidden="false" customHeight="false" outlineLevel="0" collapsed="false">
      <c r="A37" s="9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10" t="s">
        <v>2</v>
      </c>
      <c r="B4" s="10" t="s">
        <v>50</v>
      </c>
      <c r="C4" s="10" t="s">
        <v>9</v>
      </c>
      <c r="E4" s="10" t="s">
        <v>51</v>
      </c>
    </row>
    <row r="5" customFormat="false" ht="15" hidden="false" customHeight="false" outlineLevel="0" collapsed="false">
      <c r="A5" s="9" t="s">
        <v>10</v>
      </c>
      <c r="B5" s="11" t="s">
        <v>12</v>
      </c>
      <c r="C5" s="7" t="n">
        <f aca="false">SUMIFS(Scorecard!$H:$H,Scorecard!$A:$A,$A5,Scorecard!$B:$B,$B5)</f>
        <v>95.3</v>
      </c>
      <c r="E5" s="12" t="s">
        <v>52</v>
      </c>
    </row>
    <row r="6" customFormat="false" ht="15" hidden="false" customHeight="false" outlineLevel="0" collapsed="false">
      <c r="A6" s="9" t="s">
        <v>17</v>
      </c>
      <c r="B6" s="11" t="s">
        <v>18</v>
      </c>
      <c r="C6" s="7" t="n">
        <f aca="false">SUMIFS(Scorecard!$H:$H,Scorecard!$A:$A,$A6,Scorecard!$B:$B,$B6)</f>
        <v>90</v>
      </c>
      <c r="E6" s="12" t="s">
        <v>53</v>
      </c>
    </row>
    <row r="7" customFormat="false" ht="15" hidden="false" customHeight="false" outlineLevel="0" collapsed="false">
      <c r="A7" s="9" t="s">
        <v>23</v>
      </c>
      <c r="B7" s="11" t="s">
        <v>25</v>
      </c>
      <c r="C7" s="7" t="n">
        <f aca="false">SUMIFS(Scorecard!$H:$H,Scorecard!$A:$A,$A7,Scorecard!$B:$B,$B7)</f>
        <v>90.6</v>
      </c>
      <c r="E7" s="12" t="s">
        <v>54</v>
      </c>
    </row>
    <row r="8" customFormat="false" ht="15" hidden="false" customHeight="false" outlineLevel="0" collapsed="false">
      <c r="A8" s="9" t="s">
        <v>30</v>
      </c>
      <c r="B8" s="11" t="s">
        <v>32</v>
      </c>
      <c r="C8" s="7" t="n">
        <f aca="false">SUMIFS(Scorecard!$H:$H,Scorecard!$A:$A,$A8,Scorecard!$B:$B,$B8)</f>
        <v>95.5</v>
      </c>
      <c r="E8" s="12" t="s">
        <v>55</v>
      </c>
    </row>
    <row r="9" customFormat="false" ht="15" hidden="false" customHeight="false" outlineLevel="0" collapsed="false">
      <c r="A9" s="9" t="s">
        <v>33</v>
      </c>
      <c r="B9" s="11" t="s">
        <v>35</v>
      </c>
      <c r="C9" s="7" t="n">
        <f aca="false">SUMIFS(Scorecard!$H:$H,Scorecard!$A:$A,$A9,Scorecard!$B:$B,$B9)</f>
        <v>101.7</v>
      </c>
      <c r="E9" s="12" t="s">
        <v>56</v>
      </c>
    </row>
    <row r="10" customFormat="false" ht="15" hidden="false" customHeight="false" outlineLevel="0" collapsed="false">
      <c r="A10" s="9" t="s">
        <v>36</v>
      </c>
      <c r="B10" s="11" t="s">
        <v>39</v>
      </c>
      <c r="C10" s="7" t="n">
        <f aca="false">SUMIFS(Scorecard!$H:$H,Scorecard!$A:$A,$A10,Scorecard!$B:$B,$B10)</f>
        <v>81</v>
      </c>
      <c r="E10" s="12" t="s">
        <v>57</v>
      </c>
    </row>
    <row r="12" customFormat="false" ht="15" hidden="false" customHeight="false" outlineLevel="0" collapsed="false">
      <c r="A12" s="13" t="s">
        <v>58</v>
      </c>
      <c r="C12" s="14" t="n">
        <f aca="false">SUM(C5:C11)</f>
        <v>554.1</v>
      </c>
    </row>
    <row r="13" customFormat="false" ht="15" hidden="false" customHeight="false" outlineLevel="0" collapsed="false">
      <c r="A13" s="13" t="s">
        <v>59</v>
      </c>
      <c r="C13" s="15" t="n">
        <f aca="false">1/(1+EXP(-((C12-636.655567)/72.134752)))</f>
        <v>0.241501860152808</v>
      </c>
    </row>
    <row r="14" customFormat="false" ht="15" hidden="false" customHeight="false" outlineLevel="0" collapsed="false">
      <c r="A14" s="9" t="s">
        <v>60</v>
      </c>
      <c r="C14" s="9" t="str">
        <f aca="false">IF(C12&gt;=510,"Acima do corte","Abaixo do corte")</f>
        <v>Acima do corte</v>
      </c>
    </row>
    <row r="16" customFormat="false" ht="15" hidden="false" customHeight="false" outlineLevel="0" collapsed="false">
      <c r="A16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15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12" min="9" style="0" width="8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16" t="s">
        <v>64</v>
      </c>
      <c r="B4" s="16" t="s">
        <v>65</v>
      </c>
      <c r="C4" s="16" t="s">
        <v>66</v>
      </c>
      <c r="D4" s="16" t="s">
        <v>67</v>
      </c>
      <c r="E4" s="16" t="s">
        <v>68</v>
      </c>
      <c r="F4" s="16" t="s">
        <v>69</v>
      </c>
      <c r="G4" s="16" t="s">
        <v>70</v>
      </c>
      <c r="H4" s="16" t="s">
        <v>71</v>
      </c>
      <c r="I4" s="16" t="s">
        <v>72</v>
      </c>
      <c r="J4" s="16" t="s">
        <v>73</v>
      </c>
      <c r="K4" s="16" t="s">
        <v>74</v>
      </c>
      <c r="L4" s="16" t="s">
        <v>75</v>
      </c>
    </row>
    <row r="5" customFormat="false" ht="15" hidden="false" customHeight="false" outlineLevel="0" collapsed="false">
      <c r="A5" s="4" t="n">
        <v>380</v>
      </c>
      <c r="B5" s="6" t="n">
        <v>0.996166666666667</v>
      </c>
      <c r="C5" s="6" t="n">
        <v>0.131113713680219</v>
      </c>
      <c r="D5" s="6" t="n">
        <v>0.998725573491929</v>
      </c>
      <c r="E5" s="6" t="n">
        <v>0.0042183305637223</v>
      </c>
      <c r="F5" s="17" t="n">
        <v>1.0025687537145</v>
      </c>
      <c r="G5" s="17" t="n">
        <v>0.23179689425684</v>
      </c>
      <c r="H5" s="17" t="n">
        <v>0.0029439040556509</v>
      </c>
      <c r="I5" s="4" t="n">
        <v>2351</v>
      </c>
      <c r="J5" s="4" t="n">
        <v>15580</v>
      </c>
      <c r="K5" s="4" t="n">
        <v>3</v>
      </c>
      <c r="L5" s="4" t="n">
        <v>66</v>
      </c>
    </row>
    <row r="6" customFormat="false" ht="15" hidden="false" customHeight="false" outlineLevel="0" collapsed="false">
      <c r="A6" s="4" t="n">
        <v>390</v>
      </c>
      <c r="B6" s="6" t="n">
        <v>0.994555555555556</v>
      </c>
      <c r="C6" s="6" t="n">
        <v>0.131270249134175</v>
      </c>
      <c r="D6" s="6" t="n">
        <v>0.998300764655905</v>
      </c>
      <c r="E6" s="6" t="n">
        <v>0.0060079253483318</v>
      </c>
      <c r="F6" s="17" t="n">
        <v>1.00376571130635</v>
      </c>
      <c r="G6" s="17" t="n">
        <v>0.232030015797788</v>
      </c>
      <c r="H6" s="17" t="n">
        <v>0.0043086900042368</v>
      </c>
      <c r="I6" s="4" t="n">
        <v>2350</v>
      </c>
      <c r="J6" s="4" t="n">
        <v>15552</v>
      </c>
      <c r="K6" s="4" t="n">
        <v>4</v>
      </c>
      <c r="L6" s="4" t="n">
        <v>94</v>
      </c>
    </row>
    <row r="7" customFormat="false" ht="15" hidden="false" customHeight="false" outlineLevel="0" collapsed="false">
      <c r="A7" s="4" t="n">
        <v>400</v>
      </c>
      <c r="B7" s="6" t="n">
        <v>0.987222222222222</v>
      </c>
      <c r="C7" s="6" t="n">
        <v>0.132020258863253</v>
      </c>
      <c r="D7" s="6" t="n">
        <v>0.99660152931181</v>
      </c>
      <c r="E7" s="6" t="n">
        <v>0.0141889300779752</v>
      </c>
      <c r="F7" s="17" t="n">
        <v>1.00950070498664</v>
      </c>
      <c r="G7" s="17" t="n">
        <v>0.233154442456768</v>
      </c>
      <c r="H7" s="17" t="n">
        <v>0.0107904593897849</v>
      </c>
      <c r="I7" s="4" t="n">
        <v>2346</v>
      </c>
      <c r="J7" s="4" t="n">
        <v>15424</v>
      </c>
      <c r="K7" s="4" t="n">
        <v>8</v>
      </c>
      <c r="L7" s="4" t="n">
        <v>222</v>
      </c>
    </row>
    <row r="8" customFormat="false" ht="15" hidden="false" customHeight="false" outlineLevel="0" collapsed="false">
      <c r="A8" s="4" t="n">
        <v>410</v>
      </c>
      <c r="B8" s="6" t="n">
        <v>0.9755</v>
      </c>
      <c r="C8" s="6" t="n">
        <v>0.13332194316305</v>
      </c>
      <c r="D8" s="6" t="n">
        <v>0.994477485131691</v>
      </c>
      <c r="E8" s="6" t="n">
        <v>0.0273552345647449</v>
      </c>
      <c r="F8" s="17" t="n">
        <v>1.01945411084745</v>
      </c>
      <c r="G8" s="17" t="n">
        <v>0.235122784110882</v>
      </c>
      <c r="H8" s="17" t="n">
        <v>0.0218327196964358</v>
      </c>
      <c r="I8" s="4" t="n">
        <v>2341</v>
      </c>
      <c r="J8" s="4" t="n">
        <v>15218</v>
      </c>
      <c r="K8" s="4" t="n">
        <v>13</v>
      </c>
      <c r="L8" s="4" t="n">
        <v>428</v>
      </c>
    </row>
    <row r="9" customFormat="false" ht="15" hidden="false" customHeight="false" outlineLevel="0" collapsed="false">
      <c r="A9" s="4" t="n">
        <v>420</v>
      </c>
      <c r="B9" s="6" t="n">
        <v>0.9545</v>
      </c>
      <c r="C9" s="6" t="n">
        <v>0.135614923461964</v>
      </c>
      <c r="D9" s="6" t="n">
        <v>0.989804587935429</v>
      </c>
      <c r="E9" s="6" t="n">
        <v>0.0508117090630193</v>
      </c>
      <c r="F9" s="17" t="n">
        <v>1.03698752009998</v>
      </c>
      <c r="G9" s="17" t="n">
        <v>0.238546199129767</v>
      </c>
      <c r="H9" s="17" t="n">
        <v>0.0406162969984482</v>
      </c>
      <c r="I9" s="4" t="n">
        <v>2330</v>
      </c>
      <c r="J9" s="4" t="n">
        <v>14851</v>
      </c>
      <c r="K9" s="4" t="n">
        <v>24</v>
      </c>
      <c r="L9" s="4" t="n">
        <v>795</v>
      </c>
    </row>
    <row r="10" customFormat="false" ht="15" hidden="false" customHeight="false" outlineLevel="0" collapsed="false">
      <c r="A10" s="4" t="n">
        <v>430</v>
      </c>
      <c r="B10" s="6" t="n">
        <v>0.927888888888889</v>
      </c>
      <c r="C10" s="6" t="n">
        <v>0.138187043467848</v>
      </c>
      <c r="D10" s="6" t="n">
        <v>0.980458793542906</v>
      </c>
      <c r="E10" s="6" t="n">
        <v>0.0800204525118241</v>
      </c>
      <c r="F10" s="17" t="n">
        <v>1.05665538760462</v>
      </c>
      <c r="G10" s="17" t="n">
        <v>0.24223341729639</v>
      </c>
      <c r="H10" s="17" t="n">
        <v>0.0604792460547298</v>
      </c>
      <c r="I10" s="4" t="n">
        <v>2308</v>
      </c>
      <c r="J10" s="4" t="n">
        <v>14394</v>
      </c>
      <c r="K10" s="4" t="n">
        <v>46</v>
      </c>
      <c r="L10" s="4" t="n">
        <v>1252</v>
      </c>
    </row>
    <row r="11" customFormat="false" ht="15" hidden="false" customHeight="false" outlineLevel="0" collapsed="false">
      <c r="A11" s="4" t="n">
        <v>440</v>
      </c>
      <c r="B11" s="6" t="n">
        <v>0.886166666666667</v>
      </c>
      <c r="C11" s="6" t="n">
        <v>0.14193467494201</v>
      </c>
      <c r="D11" s="6" t="n">
        <v>0.961767204757859</v>
      </c>
      <c r="E11" s="6" t="n">
        <v>0.125207720823214</v>
      </c>
      <c r="F11" s="17" t="n">
        <v>1.08531187296354</v>
      </c>
      <c r="G11" s="17" t="n">
        <v>0.247364108167167</v>
      </c>
      <c r="H11" s="17" t="n">
        <v>0.0869749255810725</v>
      </c>
      <c r="I11" s="4" t="n">
        <v>2264</v>
      </c>
      <c r="J11" s="4" t="n">
        <v>13687</v>
      </c>
      <c r="K11" s="4" t="n">
        <v>90</v>
      </c>
      <c r="L11" s="4" t="n">
        <v>1959</v>
      </c>
    </row>
    <row r="12" customFormat="false" ht="15" hidden="false" customHeight="false" outlineLevel="0" collapsed="false">
      <c r="A12" s="4" t="n">
        <v>450</v>
      </c>
      <c r="B12" s="6" t="n">
        <v>0.835</v>
      </c>
      <c r="C12" s="6" t="n">
        <v>0.146839654025283</v>
      </c>
      <c r="D12" s="6" t="n">
        <v>0.937553101104503</v>
      </c>
      <c r="E12" s="6" t="n">
        <v>0.180429502748306</v>
      </c>
      <c r="F12" s="17" t="n">
        <v>1.12281808515509</v>
      </c>
      <c r="G12" s="17" t="n">
        <v>0.253911642890014</v>
      </c>
      <c r="H12" s="17" t="n">
        <v>0.117982603852809</v>
      </c>
      <c r="I12" s="4" t="n">
        <v>2207</v>
      </c>
      <c r="J12" s="4" t="n">
        <v>12823</v>
      </c>
      <c r="K12" s="4" t="n">
        <v>147</v>
      </c>
      <c r="L12" s="4" t="n">
        <v>2823</v>
      </c>
    </row>
    <row r="13" customFormat="false" ht="15" hidden="false" customHeight="false" outlineLevel="0" collapsed="false">
      <c r="A13" s="4" t="n">
        <v>460</v>
      </c>
      <c r="B13" s="6" t="n">
        <v>0.767555555555556</v>
      </c>
      <c r="C13" s="6" t="n">
        <v>0.153155761436016</v>
      </c>
      <c r="D13" s="6" t="n">
        <v>0.898895497026338</v>
      </c>
      <c r="E13" s="6" t="n">
        <v>0.252205036431037</v>
      </c>
      <c r="F13" s="17" t="n">
        <v>1.17111457342748</v>
      </c>
      <c r="G13" s="17" t="n">
        <v>0.261719233147805</v>
      </c>
      <c r="H13" s="17" t="n">
        <v>0.151100533457375</v>
      </c>
      <c r="I13" s="4" t="n">
        <v>2116</v>
      </c>
      <c r="J13" s="4" t="n">
        <v>11700</v>
      </c>
      <c r="K13" s="4" t="n">
        <v>238</v>
      </c>
      <c r="L13" s="4" t="n">
        <v>3946</v>
      </c>
    </row>
    <row r="14" customFormat="false" ht="15" hidden="false" customHeight="false" outlineLevel="0" collapsed="false">
      <c r="A14" s="4" t="n">
        <v>470</v>
      </c>
      <c r="B14" s="6" t="n">
        <v>0.689944444444445</v>
      </c>
      <c r="C14" s="6" t="n">
        <v>0.16023834447218</v>
      </c>
      <c r="D14" s="6" t="n">
        <v>0.845369583687341</v>
      </c>
      <c r="E14" s="6" t="n">
        <v>0.333439856832417</v>
      </c>
      <c r="F14" s="17" t="n">
        <v>1.2252719628289</v>
      </c>
      <c r="G14" s="17" t="n">
        <v>0.269410410884722</v>
      </c>
      <c r="H14" s="17" t="n">
        <v>0.178809440519758</v>
      </c>
      <c r="I14" s="4" t="n">
        <v>1990</v>
      </c>
      <c r="J14" s="4" t="n">
        <v>10429</v>
      </c>
      <c r="K14" s="4" t="n">
        <v>364</v>
      </c>
      <c r="L14" s="4" t="n">
        <v>5217</v>
      </c>
    </row>
    <row r="15" customFormat="false" ht="15" hidden="false" customHeight="false" outlineLevel="0" collapsed="false">
      <c r="A15" s="18" t="n">
        <v>480</v>
      </c>
      <c r="B15" s="19" t="n">
        <v>0.604722222222222</v>
      </c>
      <c r="C15" s="19" t="n">
        <v>0.16821313734497</v>
      </c>
      <c r="D15" s="19" t="n">
        <v>0.777824978759558</v>
      </c>
      <c r="E15" s="19" t="n">
        <v>0.421321743576633</v>
      </c>
      <c r="F15" s="20" t="n">
        <v>1.28625168742968</v>
      </c>
      <c r="G15" s="20" t="n">
        <v>0.276606994485988</v>
      </c>
      <c r="H15" s="20" t="n">
        <v>0.199146722336191</v>
      </c>
      <c r="I15" s="18" t="n">
        <v>1831</v>
      </c>
      <c r="J15" s="18" t="n">
        <v>9054</v>
      </c>
      <c r="K15" s="18" t="n">
        <v>523</v>
      </c>
      <c r="L15" s="18" t="n">
        <v>6592</v>
      </c>
    </row>
    <row r="16" customFormat="false" ht="15" hidden="false" customHeight="false" outlineLevel="0" collapsed="false">
      <c r="A16" s="4" t="n">
        <v>490</v>
      </c>
      <c r="B16" s="6" t="n">
        <v>0.511222222222222</v>
      </c>
      <c r="C16" s="6" t="n">
        <v>0.176809389263204</v>
      </c>
      <c r="D16" s="6" t="n">
        <v>0.691163976210705</v>
      </c>
      <c r="E16" s="6" t="n">
        <v>0.515850696663684</v>
      </c>
      <c r="F16" s="17" t="n">
        <v>1.35198343531762</v>
      </c>
      <c r="G16" s="17" t="n">
        <v>0.281585323641398</v>
      </c>
      <c r="H16" s="17" t="n">
        <v>0.207014672874389</v>
      </c>
      <c r="I16" s="4" t="n">
        <v>1627</v>
      </c>
      <c r="J16" s="4" t="n">
        <v>7575</v>
      </c>
      <c r="K16" s="4" t="n">
        <v>727</v>
      </c>
      <c r="L16" s="4" t="n">
        <v>8071</v>
      </c>
    </row>
    <row r="17" customFormat="false" ht="15" hidden="false" customHeight="false" outlineLevel="0" collapsed="false">
      <c r="A17" s="4" t="n">
        <v>500</v>
      </c>
      <c r="B17" s="6" t="n">
        <v>0.416722222222222</v>
      </c>
      <c r="C17" s="6" t="n">
        <v>0.188774830022664</v>
      </c>
      <c r="D17" s="6" t="n">
        <v>0.601529311809686</v>
      </c>
      <c r="E17" s="6" t="n">
        <v>0.611082704844689</v>
      </c>
      <c r="F17" s="17" t="n">
        <v>1.4434778846253</v>
      </c>
      <c r="G17" s="17" t="n">
        <v>0.287366818873668</v>
      </c>
      <c r="H17" s="17" t="n">
        <v>0.212612016654374</v>
      </c>
      <c r="I17" s="4" t="n">
        <v>1416</v>
      </c>
      <c r="J17" s="4" t="n">
        <v>6085</v>
      </c>
      <c r="K17" s="4" t="n">
        <v>938</v>
      </c>
      <c r="L17" s="4" t="n">
        <v>9561</v>
      </c>
    </row>
    <row r="18" customFormat="false" ht="15" hidden="false" customHeight="false" outlineLevel="0" collapsed="false">
      <c r="A18" s="18" t="n">
        <v>510</v>
      </c>
      <c r="B18" s="19" t="n">
        <v>0.328444444444444</v>
      </c>
      <c r="C18" s="19" t="n">
        <v>0.207882273342355</v>
      </c>
      <c r="D18" s="19" t="n">
        <v>0.522090059473237</v>
      </c>
      <c r="E18" s="19" t="n">
        <v>0.700690272274064</v>
      </c>
      <c r="F18" s="20" t="n">
        <v>1.58958407823381</v>
      </c>
      <c r="G18" s="20" t="n">
        <v>0.29736269053956</v>
      </c>
      <c r="H18" s="20" t="n">
        <v>0.222780331747301</v>
      </c>
      <c r="I18" s="18" t="n">
        <v>1229</v>
      </c>
      <c r="J18" s="18" t="n">
        <v>4683</v>
      </c>
      <c r="K18" s="18" t="n">
        <v>1125</v>
      </c>
      <c r="L18" s="18" t="n">
        <v>10963</v>
      </c>
    </row>
    <row r="19" customFormat="false" ht="15" hidden="false" customHeight="false" outlineLevel="0" collapsed="false">
      <c r="A19" s="4" t="n">
        <v>520</v>
      </c>
      <c r="B19" s="6" t="n">
        <v>0.247055555555556</v>
      </c>
      <c r="C19" s="6" t="n">
        <v>0.224420957949179</v>
      </c>
      <c r="D19" s="6" t="n">
        <v>0.423959218351742</v>
      </c>
      <c r="E19" s="6" t="n">
        <v>0.779560270995782</v>
      </c>
      <c r="F19" s="17" t="n">
        <v>1.71604810666322</v>
      </c>
      <c r="G19" s="17" t="n">
        <v>0.293486252021762</v>
      </c>
      <c r="H19" s="17" t="n">
        <v>0.203519489347523</v>
      </c>
      <c r="I19" s="4" t="n">
        <v>998</v>
      </c>
      <c r="J19" s="4" t="n">
        <v>3449</v>
      </c>
      <c r="K19" s="4" t="n">
        <v>1356</v>
      </c>
      <c r="L19" s="4" t="n">
        <v>12197</v>
      </c>
    </row>
    <row r="20" customFormat="false" ht="15" hidden="false" customHeight="false" outlineLevel="0" collapsed="false">
      <c r="A20" s="4" t="n">
        <v>530</v>
      </c>
      <c r="B20" s="6" t="n">
        <v>0.180222222222222</v>
      </c>
      <c r="C20" s="6" t="n">
        <v>0.239827373612824</v>
      </c>
      <c r="D20" s="6" t="n">
        <v>0.330501274426508</v>
      </c>
      <c r="E20" s="6" t="n">
        <v>0.842387830755465</v>
      </c>
      <c r="F20" s="17" t="n">
        <v>1.83385417375991</v>
      </c>
      <c r="G20" s="17" t="n">
        <v>0.277956413004645</v>
      </c>
      <c r="H20" s="17" t="n">
        <v>0.172889105181973</v>
      </c>
      <c r="I20" s="4" t="n">
        <v>778</v>
      </c>
      <c r="J20" s="4" t="n">
        <v>2466</v>
      </c>
      <c r="K20" s="4" t="n">
        <v>1576</v>
      </c>
      <c r="L20" s="4" t="n">
        <v>13180</v>
      </c>
    </row>
    <row r="21" customFormat="false" ht="15" hidden="false" customHeight="false" outlineLevel="0" collapsed="false">
      <c r="A21" s="4" t="n">
        <v>540</v>
      </c>
      <c r="B21" s="6" t="n">
        <v>0.129</v>
      </c>
      <c r="C21" s="6" t="n">
        <v>0.263996554694229</v>
      </c>
      <c r="D21" s="6" t="n">
        <v>0.260407816482583</v>
      </c>
      <c r="E21" s="6" t="n">
        <v>0.890770804039371</v>
      </c>
      <c r="F21" s="17" t="n">
        <v>2.01866524405103</v>
      </c>
      <c r="G21" s="17" t="n">
        <v>0.262189905902481</v>
      </c>
      <c r="H21" s="17" t="n">
        <v>0.151178620521954</v>
      </c>
      <c r="I21" s="4" t="n">
        <v>613</v>
      </c>
      <c r="J21" s="4" t="n">
        <v>1709</v>
      </c>
      <c r="K21" s="4" t="n">
        <v>1741</v>
      </c>
      <c r="L21" s="4" t="n">
        <v>13937</v>
      </c>
    </row>
    <row r="22" customFormat="false" ht="15" hidden="false" customHeight="false" outlineLevel="0" collapsed="false">
      <c r="A22" s="18" t="n">
        <v>550</v>
      </c>
      <c r="B22" s="19" t="n">
        <v>0.0895555555555555</v>
      </c>
      <c r="C22" s="19" t="n">
        <v>0.288461538461538</v>
      </c>
      <c r="D22" s="19" t="n">
        <v>0.197536108751062</v>
      </c>
      <c r="E22" s="19" t="n">
        <v>0.926690527930462</v>
      </c>
      <c r="F22" s="20" t="n">
        <v>2.2057381870466</v>
      </c>
      <c r="G22" s="20" t="n">
        <v>0.234493192133132</v>
      </c>
      <c r="H22" s="20" t="n">
        <v>0.124226636681523</v>
      </c>
      <c r="I22" s="18" t="n">
        <v>465</v>
      </c>
      <c r="J22" s="18" t="n">
        <v>1147</v>
      </c>
      <c r="K22" s="18" t="n">
        <v>1889</v>
      </c>
      <c r="L22" s="18" t="n">
        <v>14499</v>
      </c>
    </row>
    <row r="23" customFormat="false" ht="15" hidden="false" customHeight="false" outlineLevel="0" collapsed="false">
      <c r="A23" s="4" t="n">
        <v>560</v>
      </c>
      <c r="B23" s="6" t="n">
        <v>0.0584444444444444</v>
      </c>
      <c r="C23" s="6" t="n">
        <v>0.296577946768061</v>
      </c>
      <c r="D23" s="6" t="n">
        <v>0.132540356839422</v>
      </c>
      <c r="E23" s="6" t="n">
        <v>0.952703566406749</v>
      </c>
      <c r="F23" s="17" t="n">
        <v>2.26780078242357</v>
      </c>
      <c r="G23" s="17" t="n">
        <v>0.183206106870229</v>
      </c>
      <c r="H23" s="17" t="n">
        <v>0.0852439232461717</v>
      </c>
      <c r="I23" s="4" t="n">
        <v>312</v>
      </c>
      <c r="J23" s="4" t="n">
        <v>740</v>
      </c>
      <c r="K23" s="4" t="n">
        <v>2042</v>
      </c>
      <c r="L23" s="4" t="n">
        <v>14906</v>
      </c>
    </row>
    <row r="24" customFormat="false" ht="15" hidden="false" customHeight="false" outlineLevel="0" collapsed="false">
      <c r="A24" s="4" t="n">
        <v>570</v>
      </c>
      <c r="B24" s="6" t="n">
        <v>0.0324444444444444</v>
      </c>
      <c r="C24" s="6" t="n">
        <v>0.320205479452055</v>
      </c>
      <c r="D24" s="6" t="n">
        <v>0.0794392523364486</v>
      </c>
      <c r="E24" s="6" t="n">
        <v>0.974626102518216</v>
      </c>
      <c r="F24" s="17" t="n">
        <v>2.4484701062604</v>
      </c>
      <c r="G24" s="17" t="n">
        <v>0.127297481279782</v>
      </c>
      <c r="H24" s="17" t="n">
        <v>0.0540653548546641</v>
      </c>
      <c r="I24" s="4" t="n">
        <v>187</v>
      </c>
      <c r="J24" s="4" t="n">
        <v>397</v>
      </c>
      <c r="K24" s="4" t="n">
        <v>2167</v>
      </c>
      <c r="L24" s="4" t="n">
        <v>15249</v>
      </c>
    </row>
    <row r="25" customFormat="false" ht="15" hidden="false" customHeight="false" outlineLevel="0" collapsed="false">
      <c r="A25" s="4" t="n">
        <v>580</v>
      </c>
      <c r="B25" s="6" t="n">
        <v>0.0186111111111111</v>
      </c>
      <c r="C25" s="6" t="n">
        <v>0.355223880597015</v>
      </c>
      <c r="D25" s="6" t="n">
        <v>0.0505522514868309</v>
      </c>
      <c r="E25" s="6" t="n">
        <v>0.986194554518727</v>
      </c>
      <c r="F25" s="17" t="n">
        <v>2.71624037839689</v>
      </c>
      <c r="G25" s="17" t="n">
        <v>0.088508739308293</v>
      </c>
      <c r="H25" s="17" t="n">
        <v>0.0367468060055578</v>
      </c>
      <c r="I25" s="4" t="n">
        <v>119</v>
      </c>
      <c r="J25" s="4" t="n">
        <v>216</v>
      </c>
      <c r="K25" s="4" t="n">
        <v>2235</v>
      </c>
      <c r="L25" s="4" t="n">
        <v>15430</v>
      </c>
    </row>
    <row r="26" customFormat="false" ht="15" hidden="false" customHeight="false" outlineLevel="0" collapsed="false">
      <c r="A26" s="4" t="n">
        <v>590</v>
      </c>
      <c r="B26" s="6" t="n">
        <v>0.01</v>
      </c>
      <c r="C26" s="6" t="n">
        <v>0.372222222222222</v>
      </c>
      <c r="D26" s="6" t="n">
        <v>0.0284621920135938</v>
      </c>
      <c r="E26" s="6" t="n">
        <v>0.992777706762112</v>
      </c>
      <c r="F26" s="17" t="n">
        <v>2.84621920135939</v>
      </c>
      <c r="G26" s="17" t="n">
        <v>0.0528808208366219</v>
      </c>
      <c r="H26" s="17" t="n">
        <v>0.0212398987757056</v>
      </c>
      <c r="I26" s="4" t="n">
        <v>67</v>
      </c>
      <c r="J26" s="4" t="n">
        <v>113</v>
      </c>
      <c r="K26" s="4" t="n">
        <v>2287</v>
      </c>
      <c r="L26" s="4" t="n">
        <v>15533</v>
      </c>
    </row>
    <row r="27" customFormat="false" ht="15" hidden="false" customHeight="false" outlineLevel="0" collapsed="false">
      <c r="A27" s="4" t="n">
        <v>600</v>
      </c>
      <c r="B27" s="6" t="n">
        <v>0.004</v>
      </c>
      <c r="C27" s="6" t="n">
        <v>0.347222222222222</v>
      </c>
      <c r="D27" s="6" t="n">
        <v>0.0106202209005947</v>
      </c>
      <c r="E27" s="6" t="n">
        <v>0.996996037325834</v>
      </c>
      <c r="F27" s="17" t="n">
        <v>2.65505522514868</v>
      </c>
      <c r="G27" s="17" t="n">
        <v>0.0206100577081615</v>
      </c>
      <c r="H27" s="17" t="n">
        <v>0.0076162582264287</v>
      </c>
      <c r="I27" s="4" t="n">
        <v>25</v>
      </c>
      <c r="J27" s="4" t="n">
        <v>47</v>
      </c>
      <c r="K27" s="4" t="n">
        <v>2329</v>
      </c>
      <c r="L27" s="4" t="n">
        <v>15599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1" t="s">
        <v>76</v>
      </c>
    </row>
    <row r="3" customFormat="false" ht="15" hidden="false" customHeight="false" outlineLevel="0" collapsed="false">
      <c r="A3" s="21" t="s">
        <v>77</v>
      </c>
      <c r="B3" s="22" t="s">
        <v>78</v>
      </c>
    </row>
    <row r="4" customFormat="false" ht="15" hidden="false" customHeight="false" outlineLevel="0" collapsed="false">
      <c r="A4" s="21" t="s">
        <v>79</v>
      </c>
      <c r="B4" s="22" t="s">
        <v>80</v>
      </c>
    </row>
    <row r="5" customFormat="false" ht="15" hidden="false" customHeight="false" outlineLevel="0" collapsed="false">
      <c r="A5" s="21" t="s">
        <v>81</v>
      </c>
      <c r="B5" s="22" t="s">
        <v>82</v>
      </c>
    </row>
    <row r="6" customFormat="false" ht="15" hidden="false" customHeight="false" outlineLevel="0" collapsed="false">
      <c r="A6" s="21" t="s">
        <v>83</v>
      </c>
      <c r="B6" s="22" t="s">
        <v>84</v>
      </c>
    </row>
    <row r="7" customFormat="false" ht="15" hidden="false" customHeight="false" outlineLevel="0" collapsed="false">
      <c r="A7" s="21" t="s">
        <v>85</v>
      </c>
      <c r="B7" s="22" t="s">
        <v>86</v>
      </c>
    </row>
    <row r="8" customFormat="false" ht="15" hidden="false" customHeight="false" outlineLevel="0" collapsed="false">
      <c r="A8" s="9"/>
      <c r="B8" s="22"/>
    </row>
    <row r="9" customFormat="false" ht="15" hidden="false" customHeight="false" outlineLevel="0" collapsed="false">
      <c r="A9" s="21" t="s">
        <v>87</v>
      </c>
      <c r="B9" s="22" t="s">
        <v>88</v>
      </c>
    </row>
    <row r="10" customFormat="false" ht="15" hidden="false" customHeight="false" outlineLevel="0" collapsed="false">
      <c r="A10" s="21" t="s">
        <v>89</v>
      </c>
      <c r="B10" s="22" t="s">
        <v>90</v>
      </c>
    </row>
    <row r="11" customFormat="false" ht="15" hidden="false" customHeight="false" outlineLevel="0" collapsed="false">
      <c r="A11" s="21" t="s">
        <v>91</v>
      </c>
      <c r="B11" s="22" t="s">
        <v>92</v>
      </c>
    </row>
    <row r="12" customFormat="false" ht="15" hidden="false" customHeight="false" outlineLevel="0" collapsed="false">
      <c r="A12" s="21" t="s">
        <v>93</v>
      </c>
      <c r="B12" s="22" t="s">
        <v>94</v>
      </c>
    </row>
    <row r="13" customFormat="false" ht="15" hidden="false" customHeight="false" outlineLevel="0" collapsed="false">
      <c r="A13" s="21" t="s">
        <v>95</v>
      </c>
      <c r="B13" s="22" t="s">
        <v>96</v>
      </c>
    </row>
    <row r="14" customFormat="false" ht="15" hidden="false" customHeight="false" outlineLevel="0" collapsed="false">
      <c r="A14" s="9"/>
      <c r="B14" s="22"/>
    </row>
    <row r="15" customFormat="false" ht="15" hidden="false" customHeight="false" outlineLevel="0" collapsed="false">
      <c r="A15" s="21" t="s">
        <v>97</v>
      </c>
      <c r="B15" s="22" t="s">
        <v>98</v>
      </c>
    </row>
    <row r="16" customFormat="false" ht="15" hidden="false" customHeight="false" outlineLevel="0" collapsed="false">
      <c r="A16" s="21" t="s">
        <v>99</v>
      </c>
      <c r="B16" s="22" t="s">
        <v>100</v>
      </c>
    </row>
    <row r="17" customFormat="false" ht="15" hidden="false" customHeight="false" outlineLevel="0" collapsed="false">
      <c r="A17" s="21" t="s">
        <v>101</v>
      </c>
      <c r="B17" s="22" t="s">
        <v>102</v>
      </c>
    </row>
    <row r="18" customFormat="false" ht="15" hidden="false" customHeight="false" outlineLevel="0" collapsed="false">
      <c r="A18" s="9"/>
      <c r="B18" s="22"/>
    </row>
    <row r="19" customFormat="false" ht="15" hidden="false" customHeight="false" outlineLevel="0" collapsed="false">
      <c r="A19" s="21" t="s">
        <v>103</v>
      </c>
      <c r="B19" s="22" t="s">
        <v>104</v>
      </c>
    </row>
    <row r="20" customFormat="false" ht="15" hidden="false" customHeight="false" outlineLevel="0" collapsed="false">
      <c r="A20" s="21" t="s">
        <v>105</v>
      </c>
      <c r="B20" s="22" t="s">
        <v>106</v>
      </c>
    </row>
    <row r="21" customFormat="false" ht="15" hidden="false" customHeight="false" outlineLevel="0" collapsed="false">
      <c r="A21" s="21" t="s">
        <v>107</v>
      </c>
      <c r="B21" s="22" t="s">
        <v>108</v>
      </c>
    </row>
    <row r="22" customFormat="false" ht="15" hidden="false" customHeight="false" outlineLevel="0" collapsed="false">
      <c r="A22" s="21" t="s">
        <v>109</v>
      </c>
      <c r="B22" s="22" t="s">
        <v>110</v>
      </c>
    </row>
    <row r="23" customFormat="false" ht="15" hidden="false" customHeight="false" outlineLevel="0" collapsed="false">
      <c r="A23" s="21" t="s">
        <v>111</v>
      </c>
      <c r="B23" s="22" t="s">
        <v>112</v>
      </c>
    </row>
    <row r="24" customFormat="false" ht="15" hidden="false" customHeight="false" outlineLevel="0" collapsed="false">
      <c r="A24" s="21" t="s">
        <v>113</v>
      </c>
      <c r="B24" s="22" t="s">
        <v>114</v>
      </c>
    </row>
    <row r="25" customFormat="false" ht="15" hidden="false" customHeight="false" outlineLevel="0" collapsed="false">
      <c r="A25" s="21" t="s">
        <v>115</v>
      </c>
      <c r="B25" s="22" t="s">
        <v>116</v>
      </c>
    </row>
    <row r="26" customFormat="false" ht="15" hidden="false" customHeight="false" outlineLevel="0" collapsed="false">
      <c r="A26" s="9"/>
      <c r="B26" s="22"/>
    </row>
    <row r="27" customFormat="false" ht="15" hidden="false" customHeight="false" outlineLevel="0" collapsed="false">
      <c r="A27" s="21" t="s">
        <v>117</v>
      </c>
      <c r="B27" s="22" t="s">
        <v>118</v>
      </c>
    </row>
    <row r="28" customFormat="false" ht="15" hidden="false" customHeight="false" outlineLevel="0" collapsed="false">
      <c r="A28" s="21" t="s">
        <v>119</v>
      </c>
      <c r="B28" s="22" t="s">
        <v>120</v>
      </c>
    </row>
    <row r="29" customFormat="false" ht="15" hidden="false" customHeight="false" outlineLevel="0" collapsed="false">
      <c r="A29" s="21" t="s">
        <v>121</v>
      </c>
      <c r="B29" s="22" t="s">
        <v>122</v>
      </c>
    </row>
    <row r="30" customFormat="false" ht="15" hidden="false" customHeight="false" outlineLevel="0" collapsed="false">
      <c r="A30" s="9"/>
      <c r="B30" s="22"/>
    </row>
    <row r="31" customFormat="false" ht="15" hidden="false" customHeight="false" outlineLevel="0" collapsed="false">
      <c r="A31" s="21" t="s">
        <v>123</v>
      </c>
      <c r="B31" s="22" t="s">
        <v>124</v>
      </c>
    </row>
    <row r="32" customFormat="false" ht="15" hidden="false" customHeight="false" outlineLevel="0" collapsed="false">
      <c r="A32" s="21" t="s">
        <v>125</v>
      </c>
      <c r="B32" s="22" t="s">
        <v>126</v>
      </c>
    </row>
    <row r="33" customFormat="false" ht="15" hidden="false" customHeight="false" outlineLevel="0" collapsed="false">
      <c r="A33" s="9"/>
      <c r="B33" s="22"/>
    </row>
    <row r="34" customFormat="false" ht="15" hidden="false" customHeight="false" outlineLevel="0" collapsed="false">
      <c r="A34" s="21" t="s">
        <v>127</v>
      </c>
      <c r="B34" s="22" t="s">
        <v>128</v>
      </c>
    </row>
    <row r="35" customFormat="false" ht="15" hidden="false" customHeight="false" outlineLevel="0" collapsed="false">
      <c r="A35" s="21" t="s">
        <v>129</v>
      </c>
      <c r="B35" s="2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2026-08-31T11:19:49Z</dcterms:created>
  <dc:creator>openpyxl</dc:creator>
  <dc:description/>
  <dc:language>en-US</dc:language>
  <cp:lastModifiedBy/>
  <dcterms:modified xsi:type="dcterms:W3CDTF">2026-08-31T11:19:49Z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