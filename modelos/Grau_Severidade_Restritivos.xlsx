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ificador" sheetId="1" state="visible" r:id="rId3"/>
    <sheet name="Parametros" sheetId="2" state="visible" r:id="rId4"/>
    <sheet name="Perfil" sheetId="3" state="visible" r:id="rId5"/>
    <sheet name="Validacao" sheetId="4" state="visible" r:id="rId6"/>
    <sheet name="Dicionari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<sst xmlns="http://schemas.openxmlformats.org/spreadsheetml/2006/main" count="175" uniqueCount="115">
  <si>
    <t xml:space="preserve">Grau de Severidade — classificador</t>
  </si>
  <si>
    <t xml:space="preserve">Preencha a coluna C. Tudo abaixo é fórmula viva; nada foi colado como valor.</t>
  </si>
  <si>
    <t xml:space="preserve">#</t>
  </si>
  <si>
    <t xml:space="preserve">Variável</t>
  </si>
  <si>
    <t xml:space="preserve">Valor</t>
  </si>
  <si>
    <t xml:space="preserve">Transformada</t>
  </si>
  <si>
    <t xml:space="preserve">Padronizada (z)</t>
  </si>
  <si>
    <t xml:space="preserve">Valor ativo dos restritivos ÷ renda mensal</t>
  </si>
  <si>
    <t xml:space="preserve">Maior restritivo ÷ valor total</t>
  </si>
  <si>
    <t xml:space="preserve">Índice de natureza (média dos pesos, ponderada por valor)</t>
  </si>
  <si>
    <t xml:space="preserve">Quantidade de restritivos ativos</t>
  </si>
  <si>
    <t xml:space="preserve">Meses distintos com inclusão nos últimos 12</t>
  </si>
  <si>
    <t xml:space="preserve">Inclusões dos 6 meses recentes ÷ 6 anteriores</t>
  </si>
  <si>
    <t xml:space="preserve">Baixas ÷ (baixas + inclusões) em 12 meses</t>
  </si>
  <si>
    <t xml:space="preserve">Distância a cada centroide</t>
  </si>
  <si>
    <t xml:space="preserve">Grau</t>
  </si>
  <si>
    <t xml:space="preserve">Distância euclidiana</t>
  </si>
  <si>
    <t xml:space="preserve">GS1</t>
  </si>
  <si>
    <t xml:space="preserve">GS2</t>
  </si>
  <si>
    <t xml:space="preserve">GS3</t>
  </si>
  <si>
    <t xml:space="preserve">GS4</t>
  </si>
  <si>
    <t xml:space="preserve">GS5</t>
  </si>
  <si>
    <t xml:space="preserve">GRAU ATRIBUÍDO</t>
  </si>
  <si>
    <t xml:space="preserve">Over90 mob3 esperado</t>
  </si>
  <si>
    <t xml:space="preserve">Como funciona</t>
  </si>
  <si>
    <t xml:space="preserve">1. Cada variável passa pela mesma transformação usada no ajuste (log ou log1p).</t>
  </si>
  <si>
    <t xml:space="preserve">2. É padronizada com a média e o desvio da base de desenvolvimento (aba Parâmetros).</t>
  </si>
  <si>
    <t xml:space="preserve">3. Calcula-se a distância euclidiana até os cinco centroides.</t>
  </si>
  <si>
    <t xml:space="preserve">4. O grau é o do centroide mais próximo — exatamente o que o K-Means faz ao prever.</t>
  </si>
  <si>
    <t xml:space="preserve">O over90 esperado vem da validação externa, não do modelo: é a taxa observada</t>
  </si>
  <si>
    <t xml:space="preserve">no público interno do banco para o grau atribuído.</t>
  </si>
  <si>
    <t xml:space="preserve">Parâmetros do modelo</t>
  </si>
  <si>
    <t xml:space="preserve">Média e desvio da base de desenvolvimento, e os cinco centroides no espaço padronizado.</t>
  </si>
  <si>
    <t xml:space="preserve">Eixo</t>
  </si>
  <si>
    <t xml:space="preserve">Transformação</t>
  </si>
  <si>
    <t xml:space="preserve">Média</t>
  </si>
  <si>
    <t xml:space="preserve">Desvio</t>
  </si>
  <si>
    <t xml:space="preserve">Centroide GS1</t>
  </si>
  <si>
    <t xml:space="preserve">Centroide GS2</t>
  </si>
  <si>
    <t xml:space="preserve">Centroide GS3</t>
  </si>
  <si>
    <t xml:space="preserve">Centroide GS4</t>
  </si>
  <si>
    <t xml:space="preserve">Centroide GS5</t>
  </si>
  <si>
    <t xml:space="preserve">comprometimento</t>
  </si>
  <si>
    <t xml:space="preserve">log</t>
  </si>
  <si>
    <t xml:space="preserve">concentracao</t>
  </si>
  <si>
    <t xml:space="preserve">—</t>
  </si>
  <si>
    <t xml:space="preserve">indice_natureza</t>
  </si>
  <si>
    <t xml:space="preserve">qtd_ativos</t>
  </si>
  <si>
    <t xml:space="preserve">log1p</t>
  </si>
  <si>
    <t xml:space="preserve">meses_com_inclusao_12m</t>
  </si>
  <si>
    <t xml:space="preserve">escalada</t>
  </si>
  <si>
    <t xml:space="preserve">razao_baixa</t>
  </si>
  <si>
    <t xml:space="preserve">Semente</t>
  </si>
  <si>
    <t xml:space="preserve">k</t>
  </si>
  <si>
    <t xml:space="preserve">Silhueta</t>
  </si>
  <si>
    <t xml:space="preserve">ARI de estabilidade</t>
  </si>
  <si>
    <t xml:space="preserve">ARI contra arquétipo latente</t>
  </si>
  <si>
    <t xml:space="preserve">Perfil dos cinco graus</t>
  </si>
  <si>
    <t xml:space="preserve">Medianas, exceto onde indicado.</t>
  </si>
  <si>
    <t xml:space="preserve">Pessoas</t>
  </si>
  <si>
    <t xml:space="preserve">% da população</t>
  </si>
  <si>
    <t xml:space="preserve">Valor ÷ renda (mediana)</t>
  </si>
  <si>
    <t xml:space="preserve">Valor total (mediana)</t>
  </si>
  <si>
    <t xml:space="preserve">Renda (mediana)</t>
  </si>
  <si>
    <t xml:space="preserve">Restritivos ativos (mediana)</t>
  </si>
  <si>
    <t xml:space="preserve">Índice de natureza (média)</t>
  </si>
  <si>
    <t xml:space="preserve">Razão de baixa (média)</t>
  </si>
  <si>
    <t xml:space="preserve">% com judicial</t>
  </si>
  <si>
    <t xml:space="preserve">Validação externa</t>
  </si>
  <si>
    <t xml:space="preserve">O over90 nunca entrou no modelo. Esta aba é a prova de que os graus separam risco.</t>
  </si>
  <si>
    <t xml:space="preserve">Clientes</t>
  </si>
  <si>
    <t xml:space="preserve">Over90 mob3</t>
  </si>
  <si>
    <t xml:space="preserve">IC 95% inferior</t>
  </si>
  <si>
    <t xml:space="preserve">IC 95% superior</t>
  </si>
  <si>
    <t xml:space="preserve">Lift</t>
  </si>
  <si>
    <t xml:space="preserve">% dos eventos</t>
  </si>
  <si>
    <t xml:space="preserve">Over90 mob12</t>
  </si>
  <si>
    <t xml:space="preserve">AUC contra over90 mob3</t>
  </si>
  <si>
    <t xml:space="preserve">Gini</t>
  </si>
  <si>
    <t xml:space="preserve">AUC contra over90 mob12</t>
  </si>
  <si>
    <t xml:space="preserve">GS1 vs GS2 — p do qui-quadrado</t>
  </si>
  <si>
    <t xml:space="preserve">GS1 e GS2 são estatisticamente indistinguíveis: quatro graus discriminam tão bem quanto cinco.</t>
  </si>
  <si>
    <t xml:space="preserve">Dicionário das variáveis</t>
  </si>
  <si>
    <t xml:space="preserve">Os cinco blocos e o que cada variável mede.</t>
  </si>
  <si>
    <t xml:space="preserve">Bloco</t>
  </si>
  <si>
    <t xml:space="preserve">Definição</t>
  </si>
  <si>
    <t xml:space="preserve">Entra no cluster</t>
  </si>
  <si>
    <t xml:space="preserve">A. Severidade financeira</t>
  </si>
  <si>
    <t xml:space="preserve">Soma do valor dos restritivos ativos dividida pela renda mensal</t>
  </si>
  <si>
    <t xml:space="preserve">Sim</t>
  </si>
  <si>
    <t xml:space="preserve">maior_sobre_renda</t>
  </si>
  <si>
    <t xml:space="preserve">Maior restritivo dividido pela renda mensal</t>
  </si>
  <si>
    <t xml:space="preserve">Não</t>
  </si>
  <si>
    <t xml:space="preserve">Maior restritivo dividido pelo valor total — um problema grande ou muitos pequenos</t>
  </si>
  <si>
    <t xml:space="preserve">B. Natureza</t>
  </si>
  <si>
    <t xml:space="preserve">Média do peso de severidade do macrogrupo, ponderada pelo valor da dívida</t>
  </si>
  <si>
    <t xml:space="preserve">n_macrogrupos</t>
  </si>
  <si>
    <t xml:space="preserve">Quantidade de macrogrupos distintos — o aperto vazou por quantas frentes</t>
  </si>
  <si>
    <t xml:space="preserve">share_bancario</t>
  </si>
  <si>
    <t xml:space="preserve">Percentual do valor concentrado em crédito bancário sem garantia</t>
  </si>
  <si>
    <t xml:space="preserve">tem_judicial</t>
  </si>
  <si>
    <t xml:space="preserve">Tem ao menos um restritivo judicial ou fiscal</t>
  </si>
  <si>
    <t xml:space="preserve">C. Volume</t>
  </si>
  <si>
    <t xml:space="preserve">Quantidade de restritivos ativos hoje</t>
  </si>
  <si>
    <t xml:space="preserve">D. Tempo</t>
  </si>
  <si>
    <t xml:space="preserve">idade_mais_antigo</t>
  </si>
  <si>
    <t xml:space="preserve">Meses desde a inclusão do restritivo mais antigo</t>
  </si>
  <si>
    <t xml:space="preserve">recencia</t>
  </si>
  <si>
    <t xml:space="preserve">Meses desde a inclusão mais recente</t>
  </si>
  <si>
    <t xml:space="preserve">Meses distintos com ao menos uma inclusão nos últimos 12</t>
  </si>
  <si>
    <t xml:space="preserve">Inclusões dos 6 meses recentes divididas pelas dos 6 anteriores</t>
  </si>
  <si>
    <t xml:space="preserve">E. Saída</t>
  </si>
  <si>
    <t xml:space="preserve">qtd_baixas_12m</t>
  </si>
  <si>
    <t xml:space="preserve">Baixas registradas nos últimos 12 meses</t>
  </si>
  <si>
    <t xml:space="preserve">Baixas divididas por baixas mais inclusões, em 12 meses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</si>
</sst>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.0000"/>
    <numFmt numFmtId="167" formatCode="0.00%"/>
    <numFmt numFmtId="168" formatCode="0.000000"/>
    <numFmt numFmtId="169" formatCode="0"/>
    <numFmt numFmtId="170" formatCode="#,##0"/>
    <numFmt numFmtId="171" formatCode="0.0%"/>
    <numFmt numFmtId="172" formatCode="0.000"/>
    <numFmt numFmtId="173" formatCode="&quot;R$ &quot;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01620"/>
      <name val="Calibri"/>
      <family val="0"/>
      <charset val="1"/>
    </font>
    <font>
      <sz val="10.5"/>
      <color rgb="FF47505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.5"/>
      <color rgb="FF101620"/>
      <name val="Consolas"/>
      <family val="0"/>
      <charset val="1"/>
    </font>
    <font>
      <sz val="11"/>
      <color rgb="FF101620"/>
      <name val="Calibri"/>
      <family val="0"/>
      <charset val="1"/>
    </font>
    <font>
      <b val="true"/>
      <sz val="11"/>
      <color rgb="FF101620"/>
      <name val="Calibri"/>
      <family val="0"/>
      <charset val="1"/>
    </font>
    <font>
      <b val="true"/>
      <sz val="11"/>
      <color rgb="FF2A78D6"/>
      <name val="Calibri"/>
      <family val="0"/>
      <charset val="1"/>
    </font>
    <font>
      <b val="true"/>
      <sz val="15"/>
      <color rgb="FF2A78D6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A78D6"/>
        <bgColor rgb="FF0066CC"/>
      </patternFill>
    </fill>
    <fill>
      <patternFill patternType="solid">
        <fgColor rgb="FFE8F0FB"/>
        <bgColor rgb="FFEEF1F6"/>
      </patternFill>
    </fill>
    <fill>
      <patternFill patternType="solid">
        <fgColor rgb="FFEEF1F6"/>
        <bgColor rgb="FFE8F0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2E9"/>
      </left>
      <right style="thin">
        <color rgb="FFDDE2E9"/>
      </right>
      <top style="thin">
        <color rgb="FFDDE2E9"/>
      </top>
      <bottom style="thin">
        <color rgb="FFDDE2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6"/>
      <rgbColor rgb="FFE8F0FB"/>
      <rgbColor rgb="FF660066"/>
      <rgbColor rgb="FFFF8080"/>
      <rgbColor rgb="FF0066CC"/>
      <rgbColor rgb="FFDDE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01620"/>
      <rgbColor rgb="FF333300"/>
      <rgbColor rgb="FF993300"/>
      <rgbColor rgb="FF993366"/>
      <rgbColor rgb="FF333399"/>
      <rgbColor rgb="FF4750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6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1</v>
      </c>
      <c r="B5" s="5" t="s">
        <v>7</v>
      </c>
      <c r="C5" s="6" t="n">
        <v>2.4</v>
      </c>
      <c r="D5" s="7" t="n">
        <f aca="false">LN(C5)</f>
        <v>0.8754687373539</v>
      </c>
      <c r="E5" s="7" t="n">
        <f aca="false">(D5-Parametros!C4)/Parametros!D4</f>
        <v>0.628066805819585</v>
      </c>
    </row>
    <row r="6" customFormat="false" ht="15" hidden="false" customHeight="false" outlineLevel="0" collapsed="false">
      <c r="A6" s="4" t="n">
        <v>2</v>
      </c>
      <c r="B6" s="5" t="s">
        <v>8</v>
      </c>
      <c r="C6" s="6" t="n">
        <v>0.62</v>
      </c>
      <c r="D6" s="7" t="n">
        <f aca="false">C6</f>
        <v>0.62</v>
      </c>
      <c r="E6" s="7" t="n">
        <f aca="false">(D6-Parametros!C5)/Parametros!D5</f>
        <v>-0.228988850993247</v>
      </c>
    </row>
    <row r="7" customFormat="false" ht="15" hidden="false" customHeight="false" outlineLevel="0" collapsed="false">
      <c r="A7" s="4" t="n">
        <v>3</v>
      </c>
      <c r="B7" s="5" t="s">
        <v>9</v>
      </c>
      <c r="C7" s="6" t="n">
        <v>2.9</v>
      </c>
      <c r="D7" s="7" t="n">
        <f aca="false">C7</f>
        <v>2.9</v>
      </c>
      <c r="E7" s="7" t="n">
        <f aca="false">(D7-Parametros!C6)/Parametros!D6</f>
        <v>0.828938088140905</v>
      </c>
    </row>
    <row r="8" customFormat="false" ht="15" hidden="false" customHeight="false" outlineLevel="0" collapsed="false">
      <c r="A8" s="4" t="n">
        <v>4</v>
      </c>
      <c r="B8" s="5" t="s">
        <v>10</v>
      </c>
      <c r="C8" s="6" t="n">
        <v>5</v>
      </c>
      <c r="D8" s="7" t="n">
        <f aca="false">LN(1+C8)</f>
        <v>1.79175946922806</v>
      </c>
      <c r="E8" s="7" t="n">
        <f aca="false">(D8-Parametros!C7)/Parametros!D7</f>
        <v>0.451729286038962</v>
      </c>
    </row>
    <row r="9" customFormat="false" ht="15" hidden="false" customHeight="false" outlineLevel="0" collapsed="false">
      <c r="A9" s="4" t="n">
        <v>5</v>
      </c>
      <c r="B9" s="5" t="s">
        <v>11</v>
      </c>
      <c r="C9" s="6" t="n">
        <v>3</v>
      </c>
      <c r="D9" s="7" t="n">
        <f aca="false">LN(1+C9)</f>
        <v>1.38629436111989</v>
      </c>
      <c r="E9" s="7" t="n">
        <f aca="false">(D9-Parametros!C8)/Parametros!D8</f>
        <v>0.468082232915648</v>
      </c>
    </row>
    <row r="10" customFormat="false" ht="15" hidden="false" customHeight="false" outlineLevel="0" collapsed="false">
      <c r="A10" s="4" t="n">
        <v>6</v>
      </c>
      <c r="B10" s="5" t="s">
        <v>12</v>
      </c>
      <c r="C10" s="6" t="n">
        <v>1.8</v>
      </c>
      <c r="D10" s="7" t="n">
        <f aca="false">LN(C10)</f>
        <v>0.587786664902119</v>
      </c>
      <c r="E10" s="7" t="n">
        <f aca="false">(D10-Parametros!C9)/Parametros!D9</f>
        <v>0.179159523033718</v>
      </c>
    </row>
    <row r="11" customFormat="false" ht="15" hidden="false" customHeight="false" outlineLevel="0" collapsed="false">
      <c r="A11" s="4" t="n">
        <v>7</v>
      </c>
      <c r="B11" s="5" t="s">
        <v>13</v>
      </c>
      <c r="C11" s="6" t="n">
        <v>0.18</v>
      </c>
      <c r="D11" s="7" t="n">
        <f aca="false">C11</f>
        <v>0.18</v>
      </c>
      <c r="E11" s="7" t="n">
        <f aca="false">(D11-Parametros!C10)/Parametros!D10</f>
        <v>-0.207111589345866</v>
      </c>
    </row>
    <row r="13" customFormat="false" ht="15" hidden="false" customHeight="false" outlineLevel="0" collapsed="false">
      <c r="B13" s="8" t="s">
        <v>14</v>
      </c>
    </row>
    <row r="14" customFormat="false" ht="30" hidden="false" customHeight="true" outlineLevel="0" collapsed="false">
      <c r="A14" s="3" t="s">
        <v>15</v>
      </c>
      <c r="B14" s="3" t="s">
        <v>16</v>
      </c>
      <c r="C14" s="3"/>
      <c r="D14" s="3"/>
      <c r="E14" s="3"/>
    </row>
    <row r="15" customFormat="false" ht="15" hidden="false" customHeight="false" outlineLevel="0" collapsed="false">
      <c r="A15" s="4" t="s">
        <v>17</v>
      </c>
      <c r="B15" s="7" t="n">
        <f aca="false">SQRT(SUMXMY2($E$5:$E$11,Parametros!E$4:E$10))</f>
        <v>3.82100160342515</v>
      </c>
    </row>
    <row r="16" customFormat="false" ht="15" hidden="false" customHeight="false" outlineLevel="0" collapsed="false">
      <c r="A16" s="4" t="s">
        <v>18</v>
      </c>
      <c r="B16" s="7" t="n">
        <f aca="false">SQRT(SUMXMY2($E$5:$E$11,Parametros!F$4:F$10))</f>
        <v>3.44073245978316</v>
      </c>
    </row>
    <row r="17" customFormat="false" ht="15" hidden="false" customHeight="false" outlineLevel="0" collapsed="false">
      <c r="A17" s="4" t="s">
        <v>19</v>
      </c>
      <c r="B17" s="7" t="n">
        <f aca="false">SQRT(SUMXMY2($E$5:$E$11,Parametros!G$4:G$10))</f>
        <v>1.89730476940754</v>
      </c>
    </row>
    <row r="18" customFormat="false" ht="15" hidden="false" customHeight="false" outlineLevel="0" collapsed="false">
      <c r="A18" s="4" t="s">
        <v>20</v>
      </c>
      <c r="B18" s="7" t="n">
        <f aca="false">SQRT(SUMXMY2($E$5:$E$11,Parametros!H$4:H$10))</f>
        <v>1.03509079549977</v>
      </c>
    </row>
    <row r="19" customFormat="false" ht="15" hidden="false" customHeight="false" outlineLevel="0" collapsed="false">
      <c r="A19" s="4" t="s">
        <v>21</v>
      </c>
      <c r="B19" s="7" t="n">
        <f aca="false">SQRT(SUMXMY2($E$5:$E$11,Parametros!I$4:I$10))</f>
        <v>1.24312612180174</v>
      </c>
    </row>
    <row r="21" customFormat="false" ht="18.55" hidden="false" customHeight="false" outlineLevel="0" collapsed="false">
      <c r="A21" s="9" t="s">
        <v>22</v>
      </c>
      <c r="B21" s="10" t="str">
        <f aca="false">INDEX(A15:A19,MATCH(MIN(B15:B19),B15:B19,0))</f>
        <v>GS4</v>
      </c>
    </row>
    <row r="22" customFormat="false" ht="15" hidden="false" customHeight="false" outlineLevel="0" collapsed="false">
      <c r="A22" s="8" t="s">
        <v>23</v>
      </c>
      <c r="B22" s="11" t="n">
        <f aca="false">INDEX(Validacao!C4:C8,MATCH(B21,Validacao!A4:A8,0))</f>
        <v>0.160199882422105</v>
      </c>
    </row>
    <row r="24" customFormat="false" ht="15" hidden="false" customHeight="false" outlineLevel="0" collapsed="false">
      <c r="A24" s="8" t="s">
        <v>24</v>
      </c>
    </row>
    <row r="25" customFormat="false" ht="15" hidden="false" customHeight="false" outlineLevel="0" collapsed="false">
      <c r="A25" s="2" t="s">
        <v>25</v>
      </c>
    </row>
    <row r="26" customFormat="false" ht="15" hidden="false" customHeight="false" outlineLevel="0" collapsed="false">
      <c r="A26" s="2" t="s">
        <v>26</v>
      </c>
    </row>
    <row r="27" customFormat="false" ht="15" hidden="false" customHeight="false" outlineLevel="0" collapsed="false">
      <c r="A27" s="2" t="s">
        <v>27</v>
      </c>
    </row>
    <row r="28" customFormat="false" ht="15" hidden="false" customHeight="false" outlineLevel="0" collapsed="false">
      <c r="A28" s="2" t="s">
        <v>28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2" t="s">
        <v>29</v>
      </c>
    </row>
    <row r="31" customFormat="false" ht="15" hidden="false" customHeight="false" outlineLevel="0" collapsed="false">
      <c r="A31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9" min="5" style="0" width="15"/>
  </cols>
  <sheetData>
    <row r="1" customFormat="false" ht="21.75" hidden="false" customHeight="tru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3" customFormat="false" ht="30" hidden="false" customHeight="true" outlineLevel="0" collapsed="false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</row>
    <row r="4" customFormat="false" ht="15" hidden="false" customHeight="false" outlineLevel="0" collapsed="false">
      <c r="A4" s="4" t="s">
        <v>42</v>
      </c>
      <c r="B4" s="4" t="s">
        <v>43</v>
      </c>
      <c r="C4" s="12" t="n">
        <v>-0.271076560608207</v>
      </c>
      <c r="D4" s="12" t="n">
        <v>1.82551487730026</v>
      </c>
      <c r="E4" s="12" t="n">
        <v>-1.00243232518003</v>
      </c>
      <c r="F4" s="12" t="n">
        <v>-0.951613105127081</v>
      </c>
      <c r="G4" s="12" t="n">
        <v>-0.331706156835575</v>
      </c>
      <c r="H4" s="12" t="n">
        <v>0.575612784571341</v>
      </c>
      <c r="I4" s="12" t="n">
        <v>0.922708155409563</v>
      </c>
    </row>
    <row r="5" customFormat="false" ht="15" hidden="false" customHeight="false" outlineLevel="0" collapsed="false">
      <c r="A5" s="4" t="s">
        <v>44</v>
      </c>
      <c r="B5" s="4" t="s">
        <v>45</v>
      </c>
      <c r="C5" s="12" t="n">
        <v>0.676359580999969</v>
      </c>
      <c r="D5" s="12" t="n">
        <v>0.246123690107652</v>
      </c>
      <c r="E5" s="12" t="n">
        <v>1.0979204541339</v>
      </c>
      <c r="F5" s="12" t="n">
        <v>0.921853248628691</v>
      </c>
      <c r="G5" s="12" t="n">
        <v>-0.55183432960753</v>
      </c>
      <c r="H5" s="12" t="n">
        <v>0.323271686014092</v>
      </c>
      <c r="I5" s="12" t="n">
        <v>-0.863420746739147</v>
      </c>
    </row>
    <row r="6" customFormat="false" ht="15" hidden="false" customHeight="false" outlineLevel="0" collapsed="false">
      <c r="A6" s="4" t="s">
        <v>46</v>
      </c>
      <c r="B6" s="4" t="s">
        <v>45</v>
      </c>
      <c r="C6" s="12" t="n">
        <v>2.1122469235446</v>
      </c>
      <c r="D6" s="12" t="n">
        <v>0.950315937613785</v>
      </c>
      <c r="E6" s="12" t="n">
        <v>-0.855407768335055</v>
      </c>
      <c r="F6" s="12" t="n">
        <v>-0.911325503948066</v>
      </c>
      <c r="G6" s="12" t="n">
        <v>-0.594459025199613</v>
      </c>
      <c r="H6" s="12" t="n">
        <v>0.848705373135588</v>
      </c>
      <c r="I6" s="12" t="n">
        <v>0.838998340730201</v>
      </c>
    </row>
    <row r="7" customFormat="false" ht="15" hidden="false" customHeight="false" outlineLevel="0" collapsed="false">
      <c r="A7" s="4" t="s">
        <v>47</v>
      </c>
      <c r="B7" s="4" t="s">
        <v>48</v>
      </c>
      <c r="C7" s="12" t="n">
        <v>1.50803569218152</v>
      </c>
      <c r="D7" s="12" t="n">
        <v>0.628083646146574</v>
      </c>
      <c r="E7" s="12" t="n">
        <v>-1.14333393678543</v>
      </c>
      <c r="F7" s="12" t="n">
        <v>-1.01994561303088</v>
      </c>
      <c r="G7" s="12" t="n">
        <v>-0.0870066694496046</v>
      </c>
      <c r="H7" s="12" t="n">
        <v>0.029131648032115</v>
      </c>
      <c r="I7" s="12" t="n">
        <v>1.1704674958984</v>
      </c>
    </row>
    <row r="8" customFormat="false" ht="15" hidden="false" customHeight="false" outlineLevel="0" collapsed="false">
      <c r="A8" s="4" t="s">
        <v>49</v>
      </c>
      <c r="B8" s="4" t="s">
        <v>48</v>
      </c>
      <c r="C8" s="12" t="n">
        <v>1.15953269054513</v>
      </c>
      <c r="D8" s="12" t="n">
        <v>0.484448361054588</v>
      </c>
      <c r="E8" s="12" t="n">
        <v>-1.10998124055655</v>
      </c>
      <c r="F8" s="12" t="n">
        <v>-0.896224052069094</v>
      </c>
      <c r="G8" s="12" t="n">
        <v>0.0541130778454779</v>
      </c>
      <c r="H8" s="12" t="n">
        <v>-0.0425625004240188</v>
      </c>
      <c r="I8" s="12" t="n">
        <v>1.04952177074263</v>
      </c>
    </row>
    <row r="9" customFormat="false" ht="15" hidden="false" customHeight="false" outlineLevel="0" collapsed="false">
      <c r="A9" s="4" t="s">
        <v>50</v>
      </c>
      <c r="B9" s="4" t="s">
        <v>43</v>
      </c>
      <c r="C9" s="12" t="n">
        <v>0.463559502308731</v>
      </c>
      <c r="D9" s="12" t="n">
        <v>0.693388553897904</v>
      </c>
      <c r="E9" s="12" t="n">
        <v>-0.324836792774804</v>
      </c>
      <c r="F9" s="12" t="n">
        <v>-0.327332994506904</v>
      </c>
      <c r="G9" s="12" t="n">
        <v>0.249134563791066</v>
      </c>
      <c r="H9" s="12" t="n">
        <v>-0.261094275854441</v>
      </c>
      <c r="I9" s="12" t="n">
        <v>0.304189065581304</v>
      </c>
    </row>
    <row r="10" customFormat="false" ht="15" hidden="false" customHeight="false" outlineLevel="0" collapsed="false">
      <c r="A10" s="4" t="s">
        <v>51</v>
      </c>
      <c r="B10" s="4" t="s">
        <v>45</v>
      </c>
      <c r="C10" s="12" t="n">
        <v>0.220806696958085</v>
      </c>
      <c r="D10" s="12" t="n">
        <v>0.197027588301393</v>
      </c>
      <c r="E10" s="12" t="n">
        <v>1.22651781585747</v>
      </c>
      <c r="F10" s="12" t="n">
        <v>-1.04770840852771</v>
      </c>
      <c r="G10" s="12" t="n">
        <v>0.0789116709499659</v>
      </c>
      <c r="H10" s="12" t="n">
        <v>0.153594481464686</v>
      </c>
      <c r="I10" s="12" t="n">
        <v>-0.637988664421422</v>
      </c>
    </row>
    <row r="13" customFormat="false" ht="15" hidden="false" customHeight="false" outlineLevel="0" collapsed="false">
      <c r="A13" s="8" t="s">
        <v>52</v>
      </c>
      <c r="C13" s="13" t="n">
        <v>20260906</v>
      </c>
    </row>
    <row r="14" customFormat="false" ht="15" hidden="false" customHeight="false" outlineLevel="0" collapsed="false">
      <c r="A14" s="8" t="s">
        <v>53</v>
      </c>
      <c r="C14" s="13" t="n">
        <v>5</v>
      </c>
    </row>
    <row r="15" customFormat="false" ht="15" hidden="false" customHeight="false" outlineLevel="0" collapsed="false">
      <c r="A15" s="8" t="s">
        <v>54</v>
      </c>
      <c r="C15" s="14" t="n">
        <v>0.220814906888219</v>
      </c>
    </row>
    <row r="16" customFormat="false" ht="15" hidden="false" customHeight="false" outlineLevel="0" collapsed="false">
      <c r="A16" s="8" t="s">
        <v>55</v>
      </c>
      <c r="C16" s="14" t="n">
        <v>0.628229578472438</v>
      </c>
    </row>
    <row r="17" customFormat="false" ht="15" hidden="false" customHeight="false" outlineLevel="0" collapsed="false">
      <c r="A17" s="8" t="s">
        <v>56</v>
      </c>
      <c r="C17" s="14" t="n">
        <v>0.212007607996082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0" min="2" style="0" width="17"/>
  </cols>
  <sheetData>
    <row r="1" customFormat="false" ht="21.75" hidden="false" customHeight="tru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30" hidden="false" customHeight="true" outlineLevel="0" collapsed="false">
      <c r="A4" s="3" t="s">
        <v>15</v>
      </c>
      <c r="B4" s="3" t="s">
        <v>59</v>
      </c>
      <c r="C4" s="3" t="s">
        <v>60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67</v>
      </c>
    </row>
    <row r="5" customFormat="false" ht="15" hidden="false" customHeight="false" outlineLevel="0" collapsed="false">
      <c r="A5" s="15" t="s">
        <v>17</v>
      </c>
      <c r="B5" s="16" t="n">
        <v>54380</v>
      </c>
      <c r="C5" s="17" t="n">
        <v>0.213681426848101</v>
      </c>
      <c r="D5" s="18" t="n">
        <v>0.1225702807168</v>
      </c>
      <c r="E5" s="19" t="n">
        <v>340.26</v>
      </c>
      <c r="F5" s="19" t="n">
        <v>2810.035</v>
      </c>
      <c r="G5" s="15" t="n">
        <v>1</v>
      </c>
      <c r="H5" s="20" t="n">
        <v>1.29906462261594</v>
      </c>
      <c r="I5" s="18" t="n">
        <v>0.46246468586989</v>
      </c>
      <c r="J5" s="17" t="n">
        <v>0.0003493931592497</v>
      </c>
    </row>
    <row r="6" customFormat="false" ht="15" hidden="false" customHeight="false" outlineLevel="0" collapsed="false">
      <c r="A6" s="21" t="s">
        <v>18</v>
      </c>
      <c r="B6" s="22" t="n">
        <v>25976</v>
      </c>
      <c r="C6" s="23" t="n">
        <v>0.10207040720497</v>
      </c>
      <c r="D6" s="24" t="n">
        <v>0.136938545139564</v>
      </c>
      <c r="E6" s="25" t="n">
        <v>400.815</v>
      </c>
      <c r="F6" s="25" t="n">
        <v>2880.59</v>
      </c>
      <c r="G6" s="21" t="n">
        <v>1</v>
      </c>
      <c r="H6" s="26" t="n">
        <v>1.24597839064807</v>
      </c>
      <c r="I6" s="24" t="n">
        <v>0.0144518016630736</v>
      </c>
      <c r="J6" s="23" t="n">
        <v>7.69941484447182E-005</v>
      </c>
    </row>
    <row r="7" customFormat="false" ht="15" hidden="false" customHeight="false" outlineLevel="0" collapsed="false">
      <c r="A7" s="15" t="s">
        <v>19</v>
      </c>
      <c r="B7" s="16" t="n">
        <v>53219</v>
      </c>
      <c r="C7" s="17" t="n">
        <v>0.20911937946725</v>
      </c>
      <c r="D7" s="18" t="n">
        <v>0.432846952010376</v>
      </c>
      <c r="E7" s="19" t="n">
        <v>1238.76</v>
      </c>
      <c r="F7" s="19" t="n">
        <v>2864.2</v>
      </c>
      <c r="G7" s="15" t="n">
        <v>3</v>
      </c>
      <c r="H7" s="20" t="n">
        <v>1.54759700299041</v>
      </c>
      <c r="I7" s="18" t="n">
        <v>0.236217729221638</v>
      </c>
      <c r="J7" s="17" t="n">
        <v>0.0046787801349142</v>
      </c>
    </row>
    <row r="8" customFormat="false" ht="15" hidden="false" customHeight="false" outlineLevel="0" collapsed="false">
      <c r="A8" s="21" t="s">
        <v>20</v>
      </c>
      <c r="B8" s="22" t="n">
        <v>42206</v>
      </c>
      <c r="C8" s="23" t="n">
        <v>0.165844764647866</v>
      </c>
      <c r="D8" s="24" t="n">
        <v>2.08150878743334</v>
      </c>
      <c r="E8" s="25" t="n">
        <v>5289.42</v>
      </c>
      <c r="F8" s="25" t="n">
        <v>2510.57</v>
      </c>
      <c r="G8" s="21" t="n">
        <v>4</v>
      </c>
      <c r="H8" s="26" t="n">
        <v>2.91712002705061</v>
      </c>
      <c r="I8" s="24" t="n">
        <v>0.251247625757174</v>
      </c>
      <c r="J8" s="23" t="n">
        <v>0.125882575937071</v>
      </c>
    </row>
    <row r="9" customFormat="false" ht="15" hidden="false" customHeight="false" outlineLevel="0" collapsed="false">
      <c r="A9" s="15" t="s">
        <v>21</v>
      </c>
      <c r="B9" s="16" t="n">
        <v>78710</v>
      </c>
      <c r="C9" s="17" t="n">
        <v>0.309284021831813</v>
      </c>
      <c r="D9" s="18" t="n">
        <v>4.03790860000505</v>
      </c>
      <c r="E9" s="19" t="n">
        <v>10665.89</v>
      </c>
      <c r="F9" s="19" t="n">
        <v>2583.86</v>
      </c>
      <c r="G9" s="15" t="n">
        <v>8</v>
      </c>
      <c r="H9" s="20" t="n">
        <v>2.91014648967875</v>
      </c>
      <c r="I9" s="18" t="n">
        <v>0.0952059315690717</v>
      </c>
      <c r="J9" s="17" t="n">
        <v>0.333210519629018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5" min="4" style="0" width="16"/>
    <col collapsed="false" customWidth="true" hidden="false" outlineLevel="0" max="6" min="6" style="0" width="10"/>
    <col collapsed="false" customWidth="true" hidden="false" outlineLevel="0" max="8" min="7" style="0" width="15"/>
  </cols>
  <sheetData>
    <row r="1" customFormat="false" ht="21.75" hidden="false" customHeight="tru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3" customFormat="false" ht="30" hidden="false" customHeight="true" outlineLevel="0" collapsed="false">
      <c r="A3" s="3" t="s">
        <v>15</v>
      </c>
      <c r="B3" s="3" t="s">
        <v>70</v>
      </c>
      <c r="C3" s="3" t="s">
        <v>71</v>
      </c>
      <c r="D3" s="3" t="s">
        <v>72</v>
      </c>
      <c r="E3" s="3" t="s">
        <v>73</v>
      </c>
      <c r="F3" s="3" t="s">
        <v>74</v>
      </c>
      <c r="G3" s="3" t="s">
        <v>75</v>
      </c>
      <c r="H3" s="3" t="s">
        <v>76</v>
      </c>
    </row>
    <row r="4" customFormat="false" ht="15" hidden="false" customHeight="false" outlineLevel="0" collapsed="false">
      <c r="A4" s="15" t="s">
        <v>17</v>
      </c>
      <c r="B4" s="16" t="n">
        <v>25426</v>
      </c>
      <c r="C4" s="27" t="n">
        <v>0.0562416424132777</v>
      </c>
      <c r="D4" s="27" t="n">
        <v>0.0534762095136736</v>
      </c>
      <c r="E4" s="27" t="n">
        <v>0.0591411494556406</v>
      </c>
      <c r="F4" s="20" t="n">
        <v>0.422975209202113</v>
      </c>
      <c r="G4" s="17" t="n">
        <v>0.12218045112782</v>
      </c>
      <c r="H4" s="27" t="n">
        <v>0.115904979155195</v>
      </c>
    </row>
    <row r="5" customFormat="false" ht="15" hidden="false" customHeight="false" outlineLevel="0" collapsed="false">
      <c r="A5" s="21" t="s">
        <v>18</v>
      </c>
      <c r="B5" s="22" t="n">
        <v>12339</v>
      </c>
      <c r="C5" s="28" t="n">
        <v>0.0523543236891158</v>
      </c>
      <c r="D5" s="28" t="n">
        <v>0.0485615855457421</v>
      </c>
      <c r="E5" s="28" t="n">
        <v>0.0564257133271527</v>
      </c>
      <c r="F5" s="26" t="n">
        <v>0.393739941879986</v>
      </c>
      <c r="G5" s="23" t="n">
        <v>0.0551948051948051</v>
      </c>
      <c r="H5" s="28" t="n">
        <v>0.103736121241592</v>
      </c>
    </row>
    <row r="6" customFormat="false" ht="15" hidden="false" customHeight="false" outlineLevel="0" collapsed="false">
      <c r="A6" s="15" t="s">
        <v>19</v>
      </c>
      <c r="B6" s="16" t="n">
        <v>20403</v>
      </c>
      <c r="C6" s="27" t="n">
        <v>0.105621722295741</v>
      </c>
      <c r="D6" s="27" t="n">
        <v>0.101478293116516</v>
      </c>
      <c r="E6" s="27" t="n">
        <v>0.109913635363</v>
      </c>
      <c r="F6" s="20" t="n">
        <v>0.794346825009885</v>
      </c>
      <c r="G6" s="17" t="n">
        <v>0.184125085440875</v>
      </c>
      <c r="H6" s="27" t="n">
        <v>0.21393912659903</v>
      </c>
    </row>
    <row r="7" customFormat="false" ht="15" hidden="false" customHeight="false" outlineLevel="0" collapsed="false">
      <c r="A7" s="21" t="s">
        <v>20</v>
      </c>
      <c r="B7" s="22" t="n">
        <v>13608</v>
      </c>
      <c r="C7" s="28" t="n">
        <v>0.160199882422105</v>
      </c>
      <c r="D7" s="28" t="n">
        <v>0.154133107241599</v>
      </c>
      <c r="E7" s="28" t="n">
        <v>0.166458457679345</v>
      </c>
      <c r="F7" s="26" t="n">
        <v>1.2048115217497</v>
      </c>
      <c r="G7" s="23" t="n">
        <v>0.186261107313739</v>
      </c>
      <c r="H7" s="28" t="n">
        <v>0.336566725455614</v>
      </c>
    </row>
    <row r="8" customFormat="false" ht="15" hidden="false" customHeight="false" outlineLevel="0" collapsed="false">
      <c r="A8" s="15" t="s">
        <v>21</v>
      </c>
      <c r="B8" s="16" t="n">
        <v>16246</v>
      </c>
      <c r="C8" s="27" t="n">
        <v>0.325803274652222</v>
      </c>
      <c r="D8" s="27" t="n">
        <v>0.318638201015476</v>
      </c>
      <c r="E8" s="27" t="n">
        <v>0.333050711447523</v>
      </c>
      <c r="F8" s="20" t="n">
        <v>2.45026109376605</v>
      </c>
      <c r="G8" s="17" t="n">
        <v>0.452238550922761</v>
      </c>
      <c r="H8" s="27" t="n">
        <v>0.630001231072264</v>
      </c>
    </row>
    <row r="11" customFormat="false" ht="15" hidden="false" customHeight="false" outlineLevel="0" collapsed="false">
      <c r="A11" s="8" t="s">
        <v>77</v>
      </c>
      <c r="D11" s="14" t="n">
        <v>0.7143</v>
      </c>
    </row>
    <row r="12" customFormat="false" ht="15" hidden="false" customHeight="false" outlineLevel="0" collapsed="false">
      <c r="A12" s="8" t="s">
        <v>78</v>
      </c>
      <c r="D12" s="14" t="n">
        <v>0.4286</v>
      </c>
    </row>
    <row r="13" customFormat="false" ht="15" hidden="false" customHeight="false" outlineLevel="0" collapsed="false">
      <c r="A13" s="8" t="s">
        <v>79</v>
      </c>
      <c r="D13" s="14" t="n">
        <v>0.7463</v>
      </c>
    </row>
    <row r="14" customFormat="false" ht="15" hidden="false" customHeight="false" outlineLevel="0" collapsed="false">
      <c r="A14" s="8" t="s">
        <v>80</v>
      </c>
      <c r="D14" s="14" t="n">
        <v>0.126</v>
      </c>
    </row>
    <row r="16" customFormat="false" ht="15" hidden="false" customHeight="false" outlineLevel="0" collapsed="false">
      <c r="A16" s="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62"/>
    <col collapsed="false" customWidth="true" hidden="false" outlineLevel="0" max="4" min="4" style="0" width="15"/>
    <col collapsed="false" customWidth="true" hidden="false" outlineLevel="0" max="5" min="5" style="0" width="16"/>
  </cols>
  <sheetData>
    <row r="1" customFormat="false" ht="21.75" hidden="false" customHeight="tru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4" customFormat="false" ht="30" hidden="false" customHeight="true" outlineLevel="0" collapsed="false">
      <c r="A4" s="3" t="s">
        <v>84</v>
      </c>
      <c r="B4" s="3" t="s">
        <v>3</v>
      </c>
      <c r="C4" s="3" t="s">
        <v>85</v>
      </c>
      <c r="D4" s="3" t="s">
        <v>34</v>
      </c>
      <c r="E4" s="3" t="s">
        <v>86</v>
      </c>
    </row>
    <row r="5" customFormat="false" ht="15" hidden="false" customHeight="false" outlineLevel="0" collapsed="false">
      <c r="A5" s="5" t="s">
        <v>87</v>
      </c>
      <c r="B5" s="29" t="s">
        <v>42</v>
      </c>
      <c r="C5" s="5" t="s">
        <v>88</v>
      </c>
      <c r="D5" s="5" t="s">
        <v>43</v>
      </c>
      <c r="E5" s="30" t="s">
        <v>89</v>
      </c>
    </row>
    <row r="6" customFormat="false" ht="15" hidden="false" customHeight="false" outlineLevel="0" collapsed="false">
      <c r="A6" s="31" t="s">
        <v>87</v>
      </c>
      <c r="B6" s="32" t="s">
        <v>90</v>
      </c>
      <c r="C6" s="31" t="s">
        <v>91</v>
      </c>
      <c r="D6" s="31" t="s">
        <v>45</v>
      </c>
      <c r="E6" s="31" t="s">
        <v>92</v>
      </c>
    </row>
    <row r="7" customFormat="false" ht="28.35" hidden="false" customHeight="false" outlineLevel="0" collapsed="false">
      <c r="A7" s="5" t="s">
        <v>87</v>
      </c>
      <c r="B7" s="29" t="s">
        <v>44</v>
      </c>
      <c r="C7" s="5" t="s">
        <v>93</v>
      </c>
      <c r="D7" s="5" t="s">
        <v>45</v>
      </c>
      <c r="E7" s="30" t="s">
        <v>89</v>
      </c>
    </row>
    <row r="8" customFormat="false" ht="28.35" hidden="false" customHeight="false" outlineLevel="0" collapsed="false">
      <c r="A8" s="31" t="s">
        <v>94</v>
      </c>
      <c r="B8" s="32" t="s">
        <v>46</v>
      </c>
      <c r="C8" s="31" t="s">
        <v>95</v>
      </c>
      <c r="D8" s="31" t="s">
        <v>45</v>
      </c>
      <c r="E8" s="33" t="s">
        <v>89</v>
      </c>
    </row>
    <row r="9" customFormat="false" ht="28.35" hidden="false" customHeight="false" outlineLevel="0" collapsed="false">
      <c r="A9" s="5" t="s">
        <v>94</v>
      </c>
      <c r="B9" s="29" t="s">
        <v>96</v>
      </c>
      <c r="C9" s="5" t="s">
        <v>97</v>
      </c>
      <c r="D9" s="5" t="s">
        <v>45</v>
      </c>
      <c r="E9" s="5" t="s">
        <v>92</v>
      </c>
    </row>
    <row r="10" customFormat="false" ht="15" hidden="false" customHeight="false" outlineLevel="0" collapsed="false">
      <c r="A10" s="31" t="s">
        <v>94</v>
      </c>
      <c r="B10" s="32" t="s">
        <v>98</v>
      </c>
      <c r="C10" s="31" t="s">
        <v>99</v>
      </c>
      <c r="D10" s="31" t="s">
        <v>45</v>
      </c>
      <c r="E10" s="31" t="s">
        <v>92</v>
      </c>
    </row>
    <row r="11" customFormat="false" ht="15" hidden="false" customHeight="false" outlineLevel="0" collapsed="false">
      <c r="A11" s="5" t="s">
        <v>94</v>
      </c>
      <c r="B11" s="29" t="s">
        <v>100</v>
      </c>
      <c r="C11" s="5" t="s">
        <v>101</v>
      </c>
      <c r="D11" s="5" t="s">
        <v>45</v>
      </c>
      <c r="E11" s="5" t="s">
        <v>92</v>
      </c>
    </row>
    <row r="12" customFormat="false" ht="15" hidden="false" customHeight="false" outlineLevel="0" collapsed="false">
      <c r="A12" s="31" t="s">
        <v>102</v>
      </c>
      <c r="B12" s="32" t="s">
        <v>47</v>
      </c>
      <c r="C12" s="31" t="s">
        <v>103</v>
      </c>
      <c r="D12" s="31" t="s">
        <v>48</v>
      </c>
      <c r="E12" s="33" t="s">
        <v>89</v>
      </c>
    </row>
    <row r="13" customFormat="false" ht="15" hidden="false" customHeight="false" outlineLevel="0" collapsed="false">
      <c r="A13" s="5" t="s">
        <v>104</v>
      </c>
      <c r="B13" s="29" t="s">
        <v>105</v>
      </c>
      <c r="C13" s="5" t="s">
        <v>106</v>
      </c>
      <c r="D13" s="5" t="s">
        <v>45</v>
      </c>
      <c r="E13" s="5" t="s">
        <v>92</v>
      </c>
    </row>
    <row r="14" customFormat="false" ht="15" hidden="false" customHeight="false" outlineLevel="0" collapsed="false">
      <c r="A14" s="31" t="s">
        <v>104</v>
      </c>
      <c r="B14" s="32" t="s">
        <v>107</v>
      </c>
      <c r="C14" s="31" t="s">
        <v>108</v>
      </c>
      <c r="D14" s="31" t="s">
        <v>45</v>
      </c>
      <c r="E14" s="31" t="s">
        <v>92</v>
      </c>
    </row>
    <row r="15" customFormat="false" ht="25.35" hidden="false" customHeight="false" outlineLevel="0" collapsed="false">
      <c r="A15" s="5" t="s">
        <v>104</v>
      </c>
      <c r="B15" s="29" t="s">
        <v>49</v>
      </c>
      <c r="C15" s="5" t="s">
        <v>109</v>
      </c>
      <c r="D15" s="5" t="s">
        <v>48</v>
      </c>
      <c r="E15" s="30" t="s">
        <v>89</v>
      </c>
    </row>
    <row r="16" customFormat="false" ht="15" hidden="false" customHeight="false" outlineLevel="0" collapsed="false">
      <c r="A16" s="31" t="s">
        <v>104</v>
      </c>
      <c r="B16" s="32" t="s">
        <v>50</v>
      </c>
      <c r="C16" s="31" t="s">
        <v>110</v>
      </c>
      <c r="D16" s="31" t="s">
        <v>43</v>
      </c>
      <c r="E16" s="33" t="s">
        <v>89</v>
      </c>
    </row>
    <row r="17" customFormat="false" ht="15" hidden="false" customHeight="false" outlineLevel="0" collapsed="false">
      <c r="A17" s="5" t="s">
        <v>111</v>
      </c>
      <c r="B17" s="29" t="s">
        <v>112</v>
      </c>
      <c r="C17" s="5" t="s">
        <v>113</v>
      </c>
      <c r="D17" s="5" t="s">
        <v>45</v>
      </c>
      <c r="E17" s="5" t="s">
        <v>92</v>
      </c>
    </row>
    <row r="18" customFormat="false" ht="15" hidden="false" customHeight="false" outlineLevel="0" collapsed="false">
      <c r="A18" s="31" t="s">
        <v>111</v>
      </c>
      <c r="B18" s="32" t="s">
        <v>51</v>
      </c>
      <c r="C18" s="31" t="s">
        <v>114</v>
      </c>
      <c r="D18" s="31" t="s">
        <v>45</v>
      </c>
      <c r="E18" s="33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2026-09-06T21:30:49Z</dcterms:created>
  <dc:creator>openpyxl</dc:creator>
  <dc:description/>
  <dc:language>en-US</dc:language>
  <cp:lastModifiedBy/>
  <dcterms:modified xsi:type="dcterms:W3CDTF">2026-09-06T21:30:49Z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