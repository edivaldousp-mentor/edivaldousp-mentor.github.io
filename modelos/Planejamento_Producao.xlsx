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ejamento" sheetId="1" state="visible" r:id="rId3"/>
    <sheet name="Torneio" sheetId="2" state="visible" r:id="rId4"/>
    <sheet name="Canais" sheetId="3" state="visible" r:id="rId5"/>
    <sheet name="Dicio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<sst xmlns="http://schemas.openxmlformats.org/spreadsheetml/2006/main" count="125" uniqueCount="106">
  <si>
    <t xml:space="preserve">Planejamento de produção — ponto de pedido</t>
  </si>
  <si>
    <t xml:space="preserve">Mude o nível de serviço em C4 e as colunas F a I recalculam sozinhas.</t>
  </si>
  <si>
    <t xml:space="preserve">Nível de serviço</t>
  </si>
  <si>
    <t xml:space="preserve">← fator z, calculado</t>
  </si>
  <si>
    <t xml:space="preserve">Lead time + revisão (semanas)</t>
  </si>
  <si>
    <t xml:space="preserve">Custo por peça (R$)</t>
  </si>
  <si>
    <t xml:space="preserve">Linha de produto</t>
  </si>
  <si>
    <t xml:space="preserve">Demanda prevista
13 semanas</t>
  </si>
  <si>
    <t xml:space="preserve">Desvio do erro
acumulado</t>
  </si>
  <si>
    <t xml:space="preserve">CV do erro</t>
  </si>
  <si>
    <t xml:space="preserve">Estoque de
segurança</t>
  </si>
  <si>
    <t xml:space="preserve">Ponto de
pedido</t>
  </si>
  <si>
    <t xml:space="preserve">Capital parado
(R$)</t>
  </si>
  <si>
    <t xml:space="preserve">Cobertura
(semanas)</t>
  </si>
  <si>
    <t xml:space="preserve">Básicos atemporais</t>
  </si>
  <si>
    <t xml:space="preserve">Festa e ocasião</t>
  </si>
  <si>
    <t xml:space="preserve">Inverno</t>
  </si>
  <si>
    <t xml:space="preserve">Praia e fitness</t>
  </si>
  <si>
    <t xml:space="preserve">Verão leve</t>
  </si>
  <si>
    <t xml:space="preserve">TOTAL</t>
  </si>
  <si>
    <t xml:space="preserve">Comparação: e se usasse o naive sazonal?</t>
  </si>
  <si>
    <t xml:space="preserve">Estoque de segurança com naive sazonal</t>
  </si>
  <si>
    <t xml:space="preserve">Peças a mais que ficariam paradas</t>
  </si>
  <si>
    <t xml:space="preserve">Capital de giro que isso representa</t>
  </si>
  <si>
    <t xml:space="preserve">Como a conta funciona</t>
  </si>
  <si>
    <t xml:space="preserve">O desvio do erro acumulado NÃO é a soma dos desvios semanais. Erros de semanas</t>
  </si>
  <si>
    <t xml:space="preserve">vizinhas são correlacionados — um viés de nível se repete nas 13 semanas em vez</t>
  </si>
  <si>
    <t xml:space="preserve">de se cancelar. O número da coluna C foi medido direto no backtest: cada origem</t>
  </si>
  <si>
    <t xml:space="preserve">deu uma observação do erro da soma de 13 semanas.</t>
  </si>
  <si>
    <t xml:space="preserve">Estoque de segurança = z(nível de serviço) × desvio do erro acumulado</t>
  </si>
  <si>
    <t xml:space="preserve">Ponto de pedido = demanda prevista no período de proteção + estoque de segurança</t>
  </si>
  <si>
    <t xml:space="preserve">Resultado da comparação de métodos</t>
  </si>
  <si>
    <t xml:space="preserve">MASE médio nas cinco linhas · menor é melhor · 12 origens de backtest cada.</t>
  </si>
  <si>
    <t xml:space="preserve">Método</t>
  </si>
  <si>
    <t xml:space="preserve">Família</t>
  </si>
  <si>
    <t xml:space="preserve">MASE</t>
  </si>
  <si>
    <t xml:space="preserve">Contra o naive</t>
  </si>
  <si>
    <t xml:space="preserve">EPAM</t>
  </si>
  <si>
    <t xml:space="preserve">Viés</t>
  </si>
  <si>
    <t xml:space="preserve">Regressão harmônica</t>
  </si>
  <si>
    <t xml:space="preserve">Regressão com calendário</t>
  </si>
  <si>
    <t xml:space="preserve">Holt-Winters multiplicativo</t>
  </si>
  <si>
    <t xml:space="preserve">Suavização exponencial</t>
  </si>
  <si>
    <t xml:space="preserve">Holt-Winters aditivo</t>
  </si>
  <si>
    <t xml:space="preserve">SARIMA</t>
  </si>
  <si>
    <t xml:space="preserve">Deriva sazonal</t>
  </si>
  <si>
    <t xml:space="preserve">Baselines</t>
  </si>
  <si>
    <t xml:space="preserve">Naive sazonal</t>
  </si>
  <si>
    <t xml:space="preserve">Gradient boosting</t>
  </si>
  <si>
    <t xml:space="preserve">Machine learning</t>
  </si>
  <si>
    <t xml:space="preserve">Naive</t>
  </si>
  <si>
    <t xml:space="preserve">Média móvel 8</t>
  </si>
  <si>
    <t xml:space="preserve">Contra o naive abaixo de 1,00 = menos erro que repetir o ano passado.</t>
  </si>
  <si>
    <t xml:space="preserve">O mesmo protocolo, por canal de venda</t>
  </si>
  <si>
    <t xml:space="preserve">Marketplace B tem só 3 origens de backtest — a comparação nele é frágil.</t>
  </si>
  <si>
    <t xml:space="preserve">Loja física</t>
  </si>
  <si>
    <t xml:space="preserve">Site próprio</t>
  </si>
  <si>
    <t xml:space="preserve">Marketplace A</t>
  </si>
  <si>
    <t xml:space="preserve">Marketplace B</t>
  </si>
  <si>
    <t xml:space="preserve">O campeão nas linhas de produto produz 3,29 no canal novo: extrapolação de tendência em série curta e em rampa.</t>
  </si>
  <si>
    <t xml:space="preserve">Glossário</t>
  </si>
  <si>
    <t xml:space="preserve">Os termos que aparecem no estudo, em uma linha cada.</t>
  </si>
  <si>
    <t xml:space="preserve">Termo</t>
  </si>
  <si>
    <t xml:space="preserve">O que é</t>
  </si>
  <si>
    <t xml:space="preserve">Por que importa</t>
  </si>
  <si>
    <t xml:space="preserve">Horizonte</t>
  </si>
  <si>
    <t xml:space="preserve">Quantos períodos à frente se prevê</t>
  </si>
  <si>
    <t xml:space="preserve">Aqui são 13 semanas, porque o lead time de produção é 10 e a revisão é a cada 3</t>
  </si>
  <si>
    <t xml:space="preserve">Origem móvel</t>
  </si>
  <si>
    <t xml:space="preserve">Backtest que desliza o ponto de corte ao longo da série</t>
  </si>
  <si>
    <t xml:space="preserve">Responde 'qual método é melhor em média', não 'qual foi melhor naquele pedaço'</t>
  </si>
  <si>
    <t xml:space="preserve">Erro absoluto dividido pelo erro do naive sazonal no treino</t>
  </si>
  <si>
    <t xml:space="preserve">Comparável entre séries de escalas diferentes, e não penaliza assimetricamente</t>
  </si>
  <si>
    <t xml:space="preserve">MAPE</t>
  </si>
  <si>
    <t xml:space="preserve">Erro percentual absoluto médio</t>
  </si>
  <si>
    <t xml:space="preserve">Popular e enganoso: pune mais quem superestima, e explode com denominador pequeno</t>
  </si>
  <si>
    <t xml:space="preserve">Repetir o mesmo período do ano anterior</t>
  </si>
  <si>
    <t xml:space="preserve">É a referência a bater. Um método que não bate isso não justifica existir</t>
  </si>
  <si>
    <t xml:space="preserve">Holt-Winters (ETS)</t>
  </si>
  <si>
    <t xml:space="preserve">Suavização exponencial com nível, tendência e sazonalidade</t>
  </si>
  <si>
    <t xml:space="preserve">Atualiza os três a cada período; bom quando a sazonalidade é estável</t>
  </si>
  <si>
    <t xml:space="preserve">Modelo autorregressivo com diferenciação sazonal</t>
  </si>
  <si>
    <t xml:space="preserve">Poderoso, mas com sazonalidade 52 precisa de muitos anos para estimar bem</t>
  </si>
  <si>
    <t xml:space="preserve">Tendência + senos e cossenos + variáveis de calendário</t>
  </si>
  <si>
    <t xml:space="preserve">O único método aqui que sabe em que semana cai a Black Friday</t>
  </si>
  <si>
    <t xml:space="preserve">Diebold-Mariano</t>
  </si>
  <si>
    <t xml:space="preserve">Teste de diferença de acurácia entre dois previsores</t>
  </si>
  <si>
    <t xml:space="preserve">Diz se a vantagem sobrevive ao acaso, em vez de comparar duas médias no olho</t>
  </si>
  <si>
    <t xml:space="preserve">Correção HAC</t>
  </si>
  <si>
    <t xml:space="preserve">Ajuste de variância para erros correlacionados</t>
  </si>
  <si>
    <t xml:space="preserve">Previsões de horizontes vizinhos compartilham erro; sem isso o teste mente</t>
  </si>
  <si>
    <t xml:space="preserve">Período de proteção</t>
  </si>
  <si>
    <t xml:space="preserve">Lead time mais o intervalo de revisão</t>
  </si>
  <si>
    <t xml:space="preserve">É a janela em que a empresa está exposta a errar, e o que dimensiona o estoque</t>
  </si>
  <si>
    <t xml:space="preserve">Estoque de segurança</t>
  </si>
  <si>
    <t xml:space="preserve">Peças a mais para cobrir o erro de previsão</t>
  </si>
  <si>
    <t xml:space="preserve">z(nível de serviço) × desvio do erro acumulado no período de proteção</t>
  </si>
  <si>
    <t xml:space="preserve">Ponto de pedido</t>
  </si>
  <si>
    <t xml:space="preserve">Nível de estoque que dispara uma nova encomenda</t>
  </si>
  <si>
    <t xml:space="preserve">Demanda prevista no período de proteção + estoque de segurança</t>
  </si>
  <si>
    <t xml:space="preserve">Correção de Duan</t>
  </si>
  <si>
    <t xml:space="preserve">Ajuste ao voltar de log para o nível original</t>
  </si>
  <si>
    <t xml:space="preserve">A média do log não é o log da média; sem isso a previsão sai baixa de forma sistemática</t>
  </si>
  <si>
    <t xml:space="preserve">CSS</t>
  </si>
  <si>
    <t xml:space="preserve">Soma de quadrados condicional — estimação do SARIMA</t>
  </si>
  <si>
    <t xml:space="preserve">Mais simples que máxima verossimilhança, mas enviesa termos sazonais em amostra pequena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</si>
</sst>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0"/>
    <numFmt numFmtId="167" formatCode="&quot;R$ &quot;#,##0.00"/>
    <numFmt numFmtId="168" formatCode="#,##0"/>
    <numFmt numFmtId="169" formatCode="0.0%"/>
    <numFmt numFmtId="170" formatCode="0.0"/>
    <numFmt numFmtId="171" formatCode="0"/>
    <numFmt numFmtId="172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1620"/>
      <name val="Calibri"/>
      <family val="0"/>
      <charset val="1"/>
    </font>
    <font>
      <sz val="10.5"/>
      <color rgb="FF47505F"/>
      <name val="Calibri"/>
      <family val="0"/>
      <charset val="1"/>
    </font>
    <font>
      <b val="true"/>
      <sz val="11"/>
      <color rgb="FF101620"/>
      <name val="Calibri"/>
      <family val="0"/>
      <charset val="1"/>
    </font>
    <font>
      <sz val="11"/>
      <color rgb="FF10162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2A78D6"/>
      <name val="Calibri"/>
      <family val="0"/>
      <charset val="1"/>
    </font>
    <font>
      <b val="true"/>
      <sz val="11"/>
      <color rgb="FFB03A1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0FB"/>
        <bgColor rgb="FFEEF1F6"/>
      </patternFill>
    </fill>
    <fill>
      <patternFill patternType="solid">
        <fgColor rgb="FF2A78D6"/>
        <bgColor rgb="FF0066CC"/>
      </patternFill>
    </fill>
    <fill>
      <patternFill patternType="solid">
        <fgColor rgb="FFEEF1F6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2E9"/>
      </left>
      <right style="thin">
        <color rgb="FFDDE2E9"/>
      </right>
      <top style="thin">
        <color rgb="FFDDE2E9"/>
      </top>
      <bottom style="thin">
        <color rgb="FFDD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E8F0FB"/>
      <rgbColor rgb="FF660066"/>
      <rgbColor rgb="FFFF8080"/>
      <rgbColor rgb="FF0066CC"/>
      <rgbColor rgb="FFDD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620"/>
      <rgbColor rgb="FF333300"/>
      <rgbColor rgb="FFB03A1A"/>
      <rgbColor rgb="FF993366"/>
      <rgbColor rgb="FF333399"/>
      <rgbColor rgb="FF4750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0.95</v>
      </c>
      <c r="D4" s="5" t="n">
        <f aca="false">NORMSINV(C4)</f>
        <v>1.64485362695147</v>
      </c>
      <c r="E4" s="2" t="s">
        <v>3</v>
      </c>
    </row>
    <row r="5" customFormat="false" ht="15" hidden="false" customHeight="false" outlineLevel="0" collapsed="false">
      <c r="A5" s="3" t="s">
        <v>4</v>
      </c>
      <c r="C5" s="6" t="n">
        <v>13</v>
      </c>
    </row>
    <row r="6" customFormat="false" ht="15" hidden="false" customHeight="false" outlineLevel="0" collapsed="false">
      <c r="A6" s="3" t="s">
        <v>5</v>
      </c>
      <c r="C6" s="7" t="n">
        <v>38</v>
      </c>
    </row>
    <row r="8" customFormat="false" ht="31.5" hidden="false" customHeight="true" outlineLevel="0" collapsed="false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</row>
    <row r="9" customFormat="false" ht="15" hidden="false" customHeight="false" outlineLevel="0" collapsed="false">
      <c r="A9" s="9" t="s">
        <v>14</v>
      </c>
      <c r="B9" s="10" t="n">
        <v>254576</v>
      </c>
      <c r="C9" s="11" t="n">
        <v>4883</v>
      </c>
      <c r="D9" s="12" t="n">
        <f aca="false">C9/B9</f>
        <v>0.0191809125762051</v>
      </c>
      <c r="E9" s="13" t="n">
        <f aca="false">$D$4*C9</f>
        <v>8031.82026040404</v>
      </c>
      <c r="F9" s="13" t="n">
        <f aca="false">B9+E9</f>
        <v>262607.820260404</v>
      </c>
      <c r="G9" s="14" t="n">
        <f aca="false">E9*$C$6</f>
        <v>305209.169895353</v>
      </c>
      <c r="H9" s="15" t="n">
        <f aca="false">E9/(B9/$C$5)</f>
        <v>0.410147317049732</v>
      </c>
    </row>
    <row r="10" customFormat="false" ht="15" hidden="false" customHeight="false" outlineLevel="0" collapsed="false">
      <c r="A10" s="9" t="s">
        <v>15</v>
      </c>
      <c r="B10" s="10" t="n">
        <v>62289</v>
      </c>
      <c r="C10" s="11" t="n">
        <v>4516</v>
      </c>
      <c r="D10" s="12" t="n">
        <f aca="false">C10/B10</f>
        <v>0.0725007625744513</v>
      </c>
      <c r="E10" s="13" t="n">
        <f aca="false">$D$4*C10</f>
        <v>7428.15897931285</v>
      </c>
      <c r="F10" s="13" t="n">
        <f aca="false">B10+E10</f>
        <v>69717.1589793129</v>
      </c>
      <c r="G10" s="14" t="n">
        <f aca="false">E10*$C$6</f>
        <v>282270.041213888</v>
      </c>
      <c r="H10" s="15" t="n">
        <f aca="false">E10/(B10/$C$5)</f>
        <v>1.55029084960534</v>
      </c>
    </row>
    <row r="11" customFormat="false" ht="15" hidden="false" customHeight="false" outlineLevel="0" collapsed="false">
      <c r="A11" s="9" t="s">
        <v>16</v>
      </c>
      <c r="B11" s="10" t="n">
        <v>100110</v>
      </c>
      <c r="C11" s="11" t="n">
        <v>4842</v>
      </c>
      <c r="D11" s="12" t="n">
        <f aca="false">C11/B11</f>
        <v>0.0483667965238238</v>
      </c>
      <c r="E11" s="13" t="n">
        <f aca="false">$D$4*C11</f>
        <v>7964.38126169903</v>
      </c>
      <c r="F11" s="13" t="n">
        <f aca="false">B11+E11</f>
        <v>108074.381261699</v>
      </c>
      <c r="G11" s="14" t="n">
        <f aca="false">E11*$C$6</f>
        <v>302646.487944563</v>
      </c>
      <c r="H11" s="15" t="n">
        <f aca="false">E11/(B11/$C$5)</f>
        <v>1.03423190892106</v>
      </c>
    </row>
    <row r="12" customFormat="false" ht="15" hidden="false" customHeight="false" outlineLevel="0" collapsed="false">
      <c r="A12" s="9" t="s">
        <v>17</v>
      </c>
      <c r="B12" s="10" t="n">
        <v>107384</v>
      </c>
      <c r="C12" s="11" t="n">
        <v>6371</v>
      </c>
      <c r="D12" s="12" t="n">
        <f aca="false">C12/B12</f>
        <v>0.0593291365566565</v>
      </c>
      <c r="E12" s="13" t="n">
        <f aca="false">$D$4*C12</f>
        <v>10479.3624573078</v>
      </c>
      <c r="F12" s="13" t="n">
        <f aca="false">B12+E12</f>
        <v>117863.362457308</v>
      </c>
      <c r="G12" s="14" t="n">
        <f aca="false">E12*$C$6</f>
        <v>398215.773377697</v>
      </c>
      <c r="H12" s="15" t="n">
        <f aca="false">E12/(B12/$C$5)</f>
        <v>1.2686406908385</v>
      </c>
    </row>
    <row r="13" customFormat="false" ht="15" hidden="false" customHeight="false" outlineLevel="0" collapsed="false">
      <c r="A13" s="9" t="s">
        <v>18</v>
      </c>
      <c r="B13" s="10" t="n">
        <v>153394</v>
      </c>
      <c r="C13" s="11" t="n">
        <v>4783</v>
      </c>
      <c r="D13" s="12" t="n">
        <f aca="false">C13/B13</f>
        <v>0.0311811413744997</v>
      </c>
      <c r="E13" s="13" t="n">
        <f aca="false">$D$4*C13</f>
        <v>7867.33489770889</v>
      </c>
      <c r="F13" s="13" t="n">
        <f aca="false">B13+E13</f>
        <v>161261.334897709</v>
      </c>
      <c r="G13" s="14" t="n">
        <f aca="false">E13*$C$6</f>
        <v>298958.726112938</v>
      </c>
      <c r="H13" s="15" t="n">
        <f aca="false">E13/(B13/$C$5)</f>
        <v>0.666749375270321</v>
      </c>
    </row>
    <row r="14" customFormat="false" ht="15" hidden="false" customHeight="false" outlineLevel="0" collapsed="false">
      <c r="A14" s="16" t="s">
        <v>19</v>
      </c>
      <c r="B14" s="17" t="n">
        <f aca="false">SUM(B9:B13)</f>
        <v>677753</v>
      </c>
      <c r="E14" s="17" t="n">
        <f aca="false">SUM(E9:E13)</f>
        <v>41771.0578564326</v>
      </c>
      <c r="F14" s="17" t="n">
        <f aca="false">SUM(F9:F13)</f>
        <v>719524.057856433</v>
      </c>
      <c r="G14" s="18" t="n">
        <f aca="false">SUM(G9:G13)</f>
        <v>1587300.19854444</v>
      </c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19" t="s">
        <v>21</v>
      </c>
      <c r="E17" s="20" t="n">
        <f aca="false">$D$4*41187.2871</f>
        <v>67747.0585707266</v>
      </c>
    </row>
    <row r="18" customFormat="false" ht="15" hidden="false" customHeight="false" outlineLevel="0" collapsed="false">
      <c r="A18" s="19" t="s">
        <v>22</v>
      </c>
      <c r="E18" s="17" t="n">
        <f aca="false">E17-E14</f>
        <v>25976.0007142939</v>
      </c>
    </row>
    <row r="19" customFormat="false" ht="15" hidden="false" customHeight="false" outlineLevel="0" collapsed="false">
      <c r="A19" s="19" t="s">
        <v>23</v>
      </c>
      <c r="E19" s="18" t="n">
        <f aca="false">E18*$C$6</f>
        <v>987088.02714317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2" t="s">
        <v>25</v>
      </c>
    </row>
    <row r="23" customFormat="false" ht="15" hidden="false" customHeight="false" outlineLevel="0" collapsed="false">
      <c r="A23" s="2" t="s">
        <v>26</v>
      </c>
    </row>
    <row r="24" customFormat="false" ht="15" hidden="false" customHeight="false" outlineLevel="0" collapsed="false">
      <c r="A24" s="2" t="s">
        <v>27</v>
      </c>
    </row>
    <row r="25" customFormat="false" ht="15" hidden="false" customHeight="false" outlineLevel="0" collapsed="false">
      <c r="A25" s="2" t="s">
        <v>28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29</v>
      </c>
    </row>
    <row r="28" customFormat="false" ht="15" hidden="false" customHeight="false" outlineLevel="0" collapsed="false">
      <c r="A2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6" min="5" style="0" width="11"/>
  </cols>
  <sheetData>
    <row r="1" customFormat="false" ht="21.75" hidden="false" customHeight="tru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</row>
    <row r="5" customFormat="false" ht="15" hidden="false" customHeight="false" outlineLevel="0" collapsed="false">
      <c r="A5" s="21" t="s">
        <v>39</v>
      </c>
      <c r="B5" s="21" t="s">
        <v>40</v>
      </c>
      <c r="C5" s="22" t="n">
        <v>0.787537072144876</v>
      </c>
      <c r="D5" s="22" t="n">
        <v>0.640097692997628</v>
      </c>
      <c r="E5" s="23" t="n">
        <v>0.152383071933879</v>
      </c>
      <c r="F5" s="23" t="n">
        <v>0.0052350554185563</v>
      </c>
    </row>
    <row r="6" customFormat="false" ht="15" hidden="false" customHeight="false" outlineLevel="0" collapsed="false">
      <c r="A6" s="24" t="s">
        <v>41</v>
      </c>
      <c r="B6" s="24" t="s">
        <v>42</v>
      </c>
      <c r="C6" s="25" t="n">
        <v>1.13124881884176</v>
      </c>
      <c r="D6" s="25" t="n">
        <v>0.914581053635208</v>
      </c>
      <c r="E6" s="26" t="n">
        <v>0.187918287581537</v>
      </c>
      <c r="F6" s="26" t="n">
        <v>-0.0321305792064335</v>
      </c>
    </row>
    <row r="7" customFormat="false" ht="15" hidden="false" customHeight="false" outlineLevel="0" collapsed="false">
      <c r="A7" s="27" t="s">
        <v>43</v>
      </c>
      <c r="B7" s="27" t="s">
        <v>42</v>
      </c>
      <c r="C7" s="28" t="n">
        <v>1.18625372237006</v>
      </c>
      <c r="D7" s="28" t="n">
        <v>0.959458296340119</v>
      </c>
      <c r="E7" s="29" t="n">
        <v>0.218165271825258</v>
      </c>
      <c r="F7" s="29" t="n">
        <v>-0.025753527438236</v>
      </c>
    </row>
    <row r="8" customFormat="false" ht="15" hidden="false" customHeight="false" outlineLevel="0" collapsed="false">
      <c r="A8" s="24" t="s">
        <v>44</v>
      </c>
      <c r="B8" s="24" t="s">
        <v>44</v>
      </c>
      <c r="C8" s="25" t="n">
        <v>1.20893919247362</v>
      </c>
      <c r="D8" s="25" t="n">
        <v>0.980261641831244</v>
      </c>
      <c r="E8" s="26" t="n">
        <v>0.21321502595144</v>
      </c>
      <c r="F8" s="26" t="n">
        <v>-0.0190655142648324</v>
      </c>
    </row>
    <row r="9" customFormat="false" ht="15" hidden="false" customHeight="false" outlineLevel="0" collapsed="false">
      <c r="A9" s="27" t="s">
        <v>45</v>
      </c>
      <c r="B9" s="27" t="s">
        <v>46</v>
      </c>
      <c r="C9" s="28" t="n">
        <v>1.21491625809661</v>
      </c>
      <c r="D9" s="28" t="n">
        <v>0.986191101699669</v>
      </c>
      <c r="E9" s="29" t="n">
        <v>0.207455453831257</v>
      </c>
      <c r="F9" s="29" t="n">
        <v>-0.0776976408590798</v>
      </c>
    </row>
    <row r="10" customFormat="false" ht="15" hidden="false" customHeight="false" outlineLevel="0" collapsed="false">
      <c r="A10" s="24" t="s">
        <v>47</v>
      </c>
      <c r="B10" s="24" t="s">
        <v>46</v>
      </c>
      <c r="C10" s="25" t="n">
        <v>1.23236929498919</v>
      </c>
      <c r="D10" s="25" t="n">
        <v>1</v>
      </c>
      <c r="E10" s="26" t="n">
        <v>0.209352188163582</v>
      </c>
      <c r="F10" s="26" t="n">
        <v>-0.0885567068121554</v>
      </c>
    </row>
    <row r="11" customFormat="false" ht="15" hidden="false" customHeight="false" outlineLevel="0" collapsed="false">
      <c r="A11" s="27" t="s">
        <v>48</v>
      </c>
      <c r="B11" s="27" t="s">
        <v>49</v>
      </c>
      <c r="C11" s="28" t="n">
        <v>1.2894408478359</v>
      </c>
      <c r="D11" s="28" t="n">
        <v>1.04372558835959</v>
      </c>
      <c r="E11" s="29" t="n">
        <v>0.233686677743587</v>
      </c>
      <c r="F11" s="29" t="n">
        <v>-0.0411548306782954</v>
      </c>
    </row>
    <row r="12" customFormat="false" ht="15" hidden="false" customHeight="false" outlineLevel="0" collapsed="false">
      <c r="A12" s="24" t="s">
        <v>50</v>
      </c>
      <c r="B12" s="24" t="s">
        <v>46</v>
      </c>
      <c r="C12" s="25" t="n">
        <v>2.14023156327492</v>
      </c>
      <c r="D12" s="25" t="n">
        <v>1.73514327467607</v>
      </c>
      <c r="E12" s="26" t="n">
        <v>0.428237391626022</v>
      </c>
      <c r="F12" s="26" t="n">
        <v>-0.0045564076634185</v>
      </c>
    </row>
    <row r="13" customFormat="false" ht="15" hidden="false" customHeight="false" outlineLevel="0" collapsed="false">
      <c r="A13" s="27" t="s">
        <v>51</v>
      </c>
      <c r="B13" s="27" t="s">
        <v>46</v>
      </c>
      <c r="C13" s="28" t="n">
        <v>2.44856260870641</v>
      </c>
      <c r="D13" s="28" t="n">
        <v>1.98653921684459</v>
      </c>
      <c r="E13" s="29" t="n">
        <v>0.508556533324734</v>
      </c>
      <c r="F13" s="29" t="n">
        <v>-0.0253604741976108</v>
      </c>
    </row>
    <row r="16" customFormat="false" ht="15" hidden="false" customHeight="false" outlineLevel="0" collapsed="false">
      <c r="A16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8" t="s">
        <v>33</v>
      </c>
      <c r="B4" s="8" t="s">
        <v>55</v>
      </c>
      <c r="C4" s="8" t="s">
        <v>56</v>
      </c>
      <c r="D4" s="8" t="s">
        <v>57</v>
      </c>
      <c r="E4" s="8" t="s">
        <v>58</v>
      </c>
    </row>
    <row r="5" customFormat="false" ht="15" hidden="false" customHeight="false" outlineLevel="0" collapsed="false">
      <c r="A5" s="9" t="s">
        <v>39</v>
      </c>
      <c r="B5" s="30" t="n">
        <v>0.829160133022939</v>
      </c>
      <c r="C5" s="30" t="n">
        <v>0.533257948514803</v>
      </c>
      <c r="D5" s="30" t="n">
        <v>0.69637119910237</v>
      </c>
      <c r="E5" s="31" t="n">
        <v>3.2918072578682</v>
      </c>
    </row>
    <row r="6" customFormat="false" ht="15" hidden="false" customHeight="false" outlineLevel="0" collapsed="false">
      <c r="A6" s="9" t="s">
        <v>41</v>
      </c>
      <c r="B6" s="32" t="n">
        <v>1.20201147233815</v>
      </c>
      <c r="C6" s="32" t="n">
        <v>0.962730053970983</v>
      </c>
      <c r="D6" s="32" t="n">
        <v>1.2356923450849</v>
      </c>
      <c r="E6" s="32" t="n">
        <v>1.12261907729374</v>
      </c>
    </row>
    <row r="7" customFormat="false" ht="15" hidden="false" customHeight="false" outlineLevel="0" collapsed="false">
      <c r="A7" s="9" t="s">
        <v>43</v>
      </c>
      <c r="B7" s="32" t="n">
        <v>1.34101970863123</v>
      </c>
      <c r="C7" s="32" t="n">
        <v>1.00142497655502</v>
      </c>
      <c r="D7" s="32" t="n">
        <v>1.23827423754518</v>
      </c>
      <c r="E7" s="31" t="n">
        <v>1.66006340774944</v>
      </c>
    </row>
    <row r="8" customFormat="false" ht="15" hidden="false" customHeight="false" outlineLevel="0" collapsed="false">
      <c r="A8" s="9" t="s">
        <v>44</v>
      </c>
      <c r="B8" s="32" t="n">
        <v>1.25772708117945</v>
      </c>
      <c r="C8" s="32" t="n">
        <v>0.931812410372728</v>
      </c>
      <c r="D8" s="32" t="n">
        <v>1.14575613123261</v>
      </c>
      <c r="E8" s="31" t="n">
        <v>1.51011174920431</v>
      </c>
    </row>
    <row r="9" customFormat="false" ht="15" hidden="false" customHeight="false" outlineLevel="0" collapsed="false">
      <c r="A9" s="9" t="s">
        <v>45</v>
      </c>
      <c r="B9" s="32" t="n">
        <v>0.997027041583186</v>
      </c>
      <c r="C9" s="32" t="n">
        <v>0.984730057199475</v>
      </c>
      <c r="D9" s="32" t="n">
        <v>0.995354975821947</v>
      </c>
      <c r="E9" s="32" t="n">
        <v>0.998451183433643</v>
      </c>
    </row>
    <row r="10" customFormat="false" ht="15" hidden="false" customHeight="false" outlineLevel="0" collapsed="false">
      <c r="A10" s="9" t="s">
        <v>47</v>
      </c>
      <c r="B10" s="32" t="n">
        <v>1</v>
      </c>
      <c r="C10" s="32" t="n">
        <v>1</v>
      </c>
      <c r="D10" s="32" t="n">
        <v>1</v>
      </c>
      <c r="E10" s="32" t="n">
        <v>1</v>
      </c>
    </row>
    <row r="11" customFormat="false" ht="15" hidden="false" customHeight="false" outlineLevel="0" collapsed="false">
      <c r="A11" s="9" t="s">
        <v>48</v>
      </c>
      <c r="B11" s="32" t="n">
        <v>1.18176870375959</v>
      </c>
      <c r="C11" s="32" t="n">
        <v>1.21834846080309</v>
      </c>
      <c r="D11" s="32" t="n">
        <v>1.38514318453669</v>
      </c>
      <c r="E11" s="31" t="n">
        <v>2.8279157768228</v>
      </c>
    </row>
    <row r="12" customFormat="false" ht="15" hidden="false" customHeight="false" outlineLevel="0" collapsed="false">
      <c r="A12" s="9" t="s">
        <v>50</v>
      </c>
      <c r="B12" s="31" t="n">
        <v>1.69410401375415</v>
      </c>
      <c r="C12" s="31" t="n">
        <v>1.50609403784982</v>
      </c>
      <c r="D12" s="31" t="n">
        <v>1.82973737494769</v>
      </c>
      <c r="E12" s="31" t="n">
        <v>1.90323148593125</v>
      </c>
    </row>
    <row r="13" customFormat="false" ht="15" hidden="false" customHeight="false" outlineLevel="0" collapsed="false">
      <c r="A13" s="9" t="s">
        <v>51</v>
      </c>
      <c r="B13" s="31" t="n">
        <v>1.67437556063241</v>
      </c>
      <c r="C13" s="32" t="n">
        <v>1.26202687404809</v>
      </c>
      <c r="D13" s="31" t="n">
        <v>1.77304045489042</v>
      </c>
      <c r="E13" s="31" t="n">
        <v>2.74804255434987</v>
      </c>
    </row>
    <row r="16" customFormat="false" ht="15" hidden="false" customHeight="false" outlineLevel="0" collapsed="false">
      <c r="A1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58"/>
  </cols>
  <sheetData>
    <row r="1" customFormat="false" ht="21.75" hidden="false" customHeight="tru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1.5" hidden="false" customHeight="true" outlineLevel="0" collapsed="false">
      <c r="A4" s="8" t="s">
        <v>62</v>
      </c>
      <c r="B4" s="8" t="s">
        <v>63</v>
      </c>
      <c r="C4" s="8" t="s">
        <v>64</v>
      </c>
    </row>
    <row r="5" customFormat="false" ht="30" hidden="false" customHeight="true" outlineLevel="0" collapsed="false">
      <c r="A5" s="33" t="s">
        <v>65</v>
      </c>
      <c r="B5" s="34" t="s">
        <v>66</v>
      </c>
      <c r="C5" s="34" t="s">
        <v>67</v>
      </c>
    </row>
    <row r="6" customFormat="false" ht="30" hidden="false" customHeight="true" outlineLevel="0" collapsed="false">
      <c r="A6" s="35" t="s">
        <v>68</v>
      </c>
      <c r="B6" s="36" t="s">
        <v>69</v>
      </c>
      <c r="C6" s="36" t="s">
        <v>70</v>
      </c>
    </row>
    <row r="7" customFormat="false" ht="30" hidden="false" customHeight="true" outlineLevel="0" collapsed="false">
      <c r="A7" s="33" t="s">
        <v>35</v>
      </c>
      <c r="B7" s="34" t="s">
        <v>71</v>
      </c>
      <c r="C7" s="34" t="s">
        <v>72</v>
      </c>
    </row>
    <row r="8" customFormat="false" ht="30" hidden="false" customHeight="true" outlineLevel="0" collapsed="false">
      <c r="A8" s="35" t="s">
        <v>73</v>
      </c>
      <c r="B8" s="36" t="s">
        <v>74</v>
      </c>
      <c r="C8" s="36" t="s">
        <v>75</v>
      </c>
    </row>
    <row r="9" customFormat="false" ht="30" hidden="false" customHeight="true" outlineLevel="0" collapsed="false">
      <c r="A9" s="33" t="s">
        <v>47</v>
      </c>
      <c r="B9" s="34" t="s">
        <v>76</v>
      </c>
      <c r="C9" s="34" t="s">
        <v>77</v>
      </c>
    </row>
    <row r="10" customFormat="false" ht="30" hidden="false" customHeight="true" outlineLevel="0" collapsed="false">
      <c r="A10" s="35" t="s">
        <v>78</v>
      </c>
      <c r="B10" s="36" t="s">
        <v>79</v>
      </c>
      <c r="C10" s="36" t="s">
        <v>80</v>
      </c>
    </row>
    <row r="11" customFormat="false" ht="30" hidden="false" customHeight="true" outlineLevel="0" collapsed="false">
      <c r="A11" s="33" t="s">
        <v>44</v>
      </c>
      <c r="B11" s="34" t="s">
        <v>81</v>
      </c>
      <c r="C11" s="34" t="s">
        <v>82</v>
      </c>
    </row>
    <row r="12" customFormat="false" ht="30" hidden="false" customHeight="true" outlineLevel="0" collapsed="false">
      <c r="A12" s="35" t="s">
        <v>39</v>
      </c>
      <c r="B12" s="36" t="s">
        <v>83</v>
      </c>
      <c r="C12" s="36" t="s">
        <v>84</v>
      </c>
    </row>
    <row r="13" customFormat="false" ht="30" hidden="false" customHeight="true" outlineLevel="0" collapsed="false">
      <c r="A13" s="33" t="s">
        <v>85</v>
      </c>
      <c r="B13" s="34" t="s">
        <v>86</v>
      </c>
      <c r="C13" s="34" t="s">
        <v>87</v>
      </c>
    </row>
    <row r="14" customFormat="false" ht="30" hidden="false" customHeight="true" outlineLevel="0" collapsed="false">
      <c r="A14" s="35" t="s">
        <v>88</v>
      </c>
      <c r="B14" s="36" t="s">
        <v>89</v>
      </c>
      <c r="C14" s="36" t="s">
        <v>90</v>
      </c>
    </row>
    <row r="15" customFormat="false" ht="30" hidden="false" customHeight="true" outlineLevel="0" collapsed="false">
      <c r="A15" s="33" t="s">
        <v>91</v>
      </c>
      <c r="B15" s="34" t="s">
        <v>92</v>
      </c>
      <c r="C15" s="34" t="s">
        <v>93</v>
      </c>
    </row>
    <row r="16" customFormat="false" ht="30" hidden="false" customHeight="true" outlineLevel="0" collapsed="false">
      <c r="A16" s="35" t="s">
        <v>94</v>
      </c>
      <c r="B16" s="36" t="s">
        <v>95</v>
      </c>
      <c r="C16" s="36" t="s">
        <v>96</v>
      </c>
    </row>
    <row r="17" customFormat="false" ht="30" hidden="false" customHeight="true" outlineLevel="0" collapsed="false">
      <c r="A17" s="33" t="s">
        <v>97</v>
      </c>
      <c r="B17" s="34" t="s">
        <v>98</v>
      </c>
      <c r="C17" s="34" t="s">
        <v>99</v>
      </c>
    </row>
    <row r="18" customFormat="false" ht="30" hidden="false" customHeight="true" outlineLevel="0" collapsed="false">
      <c r="A18" s="35" t="s">
        <v>100</v>
      </c>
      <c r="B18" s="36" t="s">
        <v>101</v>
      </c>
      <c r="C18" s="36" t="s">
        <v>102</v>
      </c>
    </row>
    <row r="19" customFormat="false" ht="30" hidden="false" customHeight="true" outlineLevel="0" collapsed="false">
      <c r="A19" s="33" t="s">
        <v>103</v>
      </c>
      <c r="B19" s="34" t="s">
        <v>104</v>
      </c>
      <c r="C19" s="3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2026-09-06T22:25:44Z</dcterms:created>
  <dc:creator>openpyxl</dc:creator>
  <dc:description/>
  <dc:language>en-US</dc:language>
  <cp:lastModifiedBy/>
  <dcterms:modified xsi:type="dcterms:W3CDTF">2026-09-06T22:25:44Z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