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dor" sheetId="1" state="visible" r:id="rId3"/>
    <sheet name="Perfil dos grupos" sheetId="2" state="visible" r:id="rId4"/>
    <sheet name="Regua de acao" sheetId="3" state="visible" r:id="rId5"/>
    <sheet name="Parametros" sheetId="4" state="visible" r:id="rId6"/>
    <sheet name="Ficha do estud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<sst xmlns="http://schemas.openxmlformats.org/spreadsheetml/2006/main" count="171" uniqueCount="128">
  <si>
    <t xml:space="preserve">Classificador de grupo e prioridade</t>
  </si>
  <si>
    <t xml:space="preserve">Preencha as celulas amarelas com o comportamento do cliente nos ultimos 6 meses. A planilha aplica o mesmo modelo do estudo.</t>
  </si>
  <si>
    <t xml:space="preserve">ETAPA 1 — os tres eixos de volume</t>
  </si>
  <si>
    <t xml:space="preserve">Aportes por mes</t>
  </si>
  <si>
    <t xml:space="preserve">Ticket medio (R$)</t>
  </si>
  <si>
    <t xml:space="preserve">Gasto mensal em bets (R$)</t>
  </si>
  <si>
    <t xml:space="preserve">Renda mensal (R$)</t>
  </si>
  <si>
    <t xml:space="preserve">Comprometimento da renda</t>
  </si>
  <si>
    <t xml:space="preserve">Valores padronizados</t>
  </si>
  <si>
    <t xml:space="preserve">Distancia ao centro de cada grupo</t>
  </si>
  <si>
    <t xml:space="preserve">z frequencia</t>
  </si>
  <si>
    <t xml:space="preserve">1 · Recreativo</t>
  </si>
  <si>
    <t xml:space="preserve">z ticket</t>
  </si>
  <si>
    <t xml:space="preserve">2 · Ticket alto ocasional</t>
  </si>
  <si>
    <t xml:space="preserve">z comprometimento</t>
  </si>
  <si>
    <t xml:space="preserve">3 · Habitual</t>
  </si>
  <si>
    <t xml:space="preserve">4 · Intensivo</t>
  </si>
  <si>
    <t xml:space="preserve">GRUPO</t>
  </si>
  <si>
    <t xml:space="preserve">ETAPA 2 — sinais de padrao (so importa se o grupo for o Intensivo)</t>
  </si>
  <si>
    <t xml:space="preserve">z</t>
  </si>
  <si>
    <t xml:space="preserve">% dos aportes na madrugada (0h-6h)</t>
  </si>
  <si>
    <t xml:space="preserve">Escalada (ultimo bimestre / primeiro)</t>
  </si>
  <si>
    <t xml:space="preserve">Numero de casas distintas</t>
  </si>
  <si>
    <t xml:space="preserve">Maximo de aportes num unico dia</t>
  </si>
  <si>
    <t xml:space="preserve">% dos aportes ate 3 dias apos o salario</t>
  </si>
  <si>
    <t xml:space="preserve">Indice de alerta</t>
  </si>
  <si>
    <t xml:space="preserve">PRIORIDADE</t>
  </si>
  <si>
    <t xml:space="preserve">O exemplo preenchido e a mediana do grupo Intensivo no nivel Acao imediata. Mude as celulas amarelas para testar outros clientes.</t>
  </si>
  <si>
    <t xml:space="preserve">Perfil dos quatro grupos (medianas)</t>
  </si>
  <si>
    <t xml:space="preserve">Base de 10.000 clientes, janela de 6 meses.</t>
  </si>
  <si>
    <t xml:space="preserve">cluster</t>
  </si>
  <si>
    <t xml:space="preserve">grupo</t>
  </si>
  <si>
    <t xml:space="preserve">clientes</t>
  </si>
  <si>
    <t xml:space="preserve">pct_base</t>
  </si>
  <si>
    <t xml:space="preserve">freq_mensal</t>
  </si>
  <si>
    <t xml:space="preserve">ticket_medio</t>
  </si>
  <si>
    <t xml:space="preserve">gasto_mensal</t>
  </si>
  <si>
    <t xml:space="preserve">comprometimento</t>
  </si>
  <si>
    <t xml:space="preserve">perda_mensal</t>
  </si>
  <si>
    <t xml:space="preserve">pct_madrugada</t>
  </si>
  <si>
    <t xml:space="preserve">escalada</t>
  </si>
  <si>
    <t xml:space="preserve">n_casas</t>
  </si>
  <si>
    <t xml:space="preserve">max_aportes_dia</t>
  </si>
  <si>
    <t xml:space="preserve">renda_mensal</t>
  </si>
  <si>
    <t xml:space="preserve">perda_total_6m</t>
  </si>
  <si>
    <t xml:space="preserve">pct_perda_total</t>
  </si>
  <si>
    <t xml:space="preserve">Recreativo</t>
  </si>
  <si>
    <t xml:space="preserve">Ticket alto ocasional</t>
  </si>
  <si>
    <t xml:space="preserve">Habitual</t>
  </si>
  <si>
    <t xml:space="preserve">Intensivo</t>
  </si>
  <si>
    <t xml:space="preserve">Regua de prioridade — dentro do grupo Intensivo</t>
  </si>
  <si>
    <t xml:space="preserve">Os 1.477 clientes do grupo 4, ordenados pelo indice de alerta.</t>
  </si>
  <si>
    <t xml:space="preserve">prioridade</t>
  </si>
  <si>
    <t xml:space="preserve">pct_compulsivo</t>
  </si>
  <si>
    <t xml:space="preserve">Monitorar</t>
  </si>
  <si>
    <t xml:space="preserve">Atencao</t>
  </si>
  <si>
    <t xml:space="preserve">Acao imediata</t>
  </si>
  <si>
    <t xml:space="preserve">Acao sugerida por nivel</t>
  </si>
  <si>
    <t xml:space="preserve">Nenhuma abordagem ativa. Acompanhar a evolucao mensal e reavaliar.</t>
  </si>
  <si>
    <t xml:space="preserve">Comunicacao personalizada com o proprio dado da pessoa; ferramentas de autolimite.</t>
  </si>
  <si>
    <t xml:space="preserve">Contato humano ativo, oferta de canal de ajuda, revisao de limites, acompanhamento mensal.</t>
  </si>
  <si>
    <t xml:space="preserve">Parametros do modelo</t>
  </si>
  <si>
    <t xml:space="preserve">Tudo que a aba Classificador usa. Reaplicaveis em SQL, Python ou qualquer outra ferramenta.</t>
  </si>
  <si>
    <t xml:space="preserve">Escala dos tres eixos</t>
  </si>
  <si>
    <t xml:space="preserve">feature</t>
  </si>
  <si>
    <t xml:space="preserve">transformacao</t>
  </si>
  <si>
    <t xml:space="preserve">media</t>
  </si>
  <si>
    <t xml:space="preserve">desvio</t>
  </si>
  <si>
    <t xml:space="preserve">log1p</t>
  </si>
  <si>
    <t xml:space="preserve">log</t>
  </si>
  <si>
    <t xml:space="preserve">Centroides (espaco padronizado)</t>
  </si>
  <si>
    <t xml:space="preserve">Escala dos sinais de padrao</t>
  </si>
  <si>
    <t xml:space="preserve">sinal</t>
  </si>
  <si>
    <t xml:space="preserve">nenhuma</t>
  </si>
  <si>
    <t xml:space="preserve">pct_pos_salario</t>
  </si>
  <si>
    <t xml:space="preserve">Cortes do indice de alerta</t>
  </si>
  <si>
    <t xml:space="preserve">nivel</t>
  </si>
  <si>
    <t xml:space="preserve">indice_de</t>
  </si>
  <si>
    <t xml:space="preserve">indice_ate</t>
  </si>
  <si>
    <t xml:space="preserve">Poder de cada sinal, isolado (AUC)</t>
  </si>
  <si>
    <t xml:space="preserve">auc</t>
  </si>
  <si>
    <t xml:space="preserve">Ficha do estudo 02</t>
  </si>
  <si>
    <t xml:space="preserve">Objetivo</t>
  </si>
  <si>
    <t xml:space="preserve">Segmentar apostadores por risco a partir do transacional Pix</t>
  </si>
  <si>
    <t xml:space="preserve">Tecnica</t>
  </si>
  <si>
    <t xml:space="preserve">K-Means sobre 3 eixos de volume + indice de alerta dentro do grupo de risco</t>
  </si>
  <si>
    <t xml:space="preserve">Origem dos dados</t>
  </si>
  <si>
    <t xml:space="preserve">BASE SINTETICA — dados ficticios, arquetipos latentes</t>
  </si>
  <si>
    <t xml:space="preserve">Base regulatoria do rastreio</t>
  </si>
  <si>
    <t xml:space="preserve">Portaria Normativa SPA/MF 615/2024; Lei 14.790/2023; lista de autorizadas da SPA/MF</t>
  </si>
  <si>
    <t xml:space="preserve">Clientes</t>
  </si>
  <si>
    <t xml:space="preserve">9.994</t>
  </si>
  <si>
    <t xml:space="preserve">Transacoes</t>
  </si>
  <si>
    <t xml:space="preserve">800.870 em 6 meses (590.925 aportes, 209.945 premios)</t>
  </si>
  <si>
    <t xml:space="preserve">Eixos da clusterizacao</t>
  </si>
  <si>
    <t xml:space="preserve">freq_mensal, ticket_medio, comprometimento</t>
  </si>
  <si>
    <t xml:space="preserve">Sinais de padrao</t>
  </si>
  <si>
    <t xml:space="preserve">pct_madrugada, escalada, n_casas, max_aportes_dia, pct_pos_salario</t>
  </si>
  <si>
    <t xml:space="preserve">k</t>
  </si>
  <si>
    <t xml:space="preserve">4 (Davies-Bouldin minimo; silhueta favorece k=2)</t>
  </si>
  <si>
    <t xml:space="preserve">Silhueta em k=4</t>
  </si>
  <si>
    <t xml:space="preserve">0.3792</t>
  </si>
  <si>
    <t xml:space="preserve">Davies-Bouldin</t>
  </si>
  <si>
    <t xml:space="preserve">0.8546</t>
  </si>
  <si>
    <t xml:space="preserve">Estabilidade (ARI medio)</t>
  </si>
  <si>
    <t xml:space="preserve">0.9911 (minimo 0.9689)</t>
  </si>
  <si>
    <t xml:space="preserve">KMeans x GMM (ARI)</t>
  </si>
  <si>
    <t xml:space="preserve">0.3578</t>
  </si>
  <si>
    <t xml:space="preserve">KMeans x Ward (ARI)</t>
  </si>
  <si>
    <t xml:space="preserve">0.6195</t>
  </si>
  <si>
    <t xml:space="preserve">Recuperacao do arquetipo (ARI)</t>
  </si>
  <si>
    <t xml:space="preserve">0.4634</t>
  </si>
  <si>
    <t xml:space="preserve">Especificacao alternativa</t>
  </si>
  <si>
    <t xml:space="preserve">7 features: silhueta 0.1907, estabilidade 0.9243, ARI 0.3684 — pior em todos os criterios</t>
  </si>
  <si>
    <t xml:space="preserve">Grupo de risco (cluster 4)</t>
  </si>
  <si>
    <t xml:space="preserve">1.477 clientes = 14.8% da base</t>
  </si>
  <si>
    <t xml:space="preserve">Concentracao da perda</t>
  </si>
  <si>
    <t xml:space="preserve">78.4% da perda liquida total</t>
  </si>
  <si>
    <t xml:space="preserve">Captura dos casos criticos</t>
  </si>
  <si>
    <t xml:space="preserve">99.9%</t>
  </si>
  <si>
    <t xml:space="preserve">AUC do indice de alerta</t>
  </si>
  <si>
    <t xml:space="preserve">0.9974 — inflado pela natureza sintetica dos arquetipos; nao esperar isso em dado real</t>
  </si>
  <si>
    <t xml:space="preserve">Limitacao principal</t>
  </si>
  <si>
    <t xml:space="preserve">Intenso e Compulsivo formam um continuo, nao dois grupos separaveis. O cluster tria; o indice ordena.</t>
  </si>
  <si>
    <t xml:space="preserve">Uso NAO recomendado</t>
  </si>
  <si>
    <t xml:space="preserve">Negar credito, piorar taxa ou reduzir limite com base neste grupo</t>
  </si>
  <si>
    <t xml:space="preserve">Nao e diagnostico</t>
  </si>
  <si>
    <t xml:space="preserve">Jogo patologico e diagnostico clinico, com instrumento proprio e profissional habilitado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</si>
</sst>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&quot;R$ &quot;#,##0.00"/>
    <numFmt numFmtId="167" formatCode="0.0%"/>
    <numFmt numFmtId="168" formatCode="0.0000"/>
    <numFmt numFmtId="169" formatCode="0.000"/>
    <numFmt numFmtId="170" formatCode="0%"/>
    <numFmt numFmtId="171" formatCode="0.00"/>
    <numFmt numFmtId="172" formatCode="0"/>
    <numFmt numFmtId="173" formatCode="&quot;R$ &quot;#,##0"/>
    <numFmt numFmtId="174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30</v>
      </c>
    </row>
    <row r="6" customFormat="false" ht="15" hidden="false" customHeight="false" outlineLevel="0" collapsed="false">
      <c r="A6" s="4" t="s">
        <v>4</v>
      </c>
      <c r="B6" s="6" t="n">
        <v>27.67</v>
      </c>
    </row>
    <row r="7" customFormat="false" ht="15" hidden="false" customHeight="false" outlineLevel="0" collapsed="false">
      <c r="A7" s="4" t="s">
        <v>5</v>
      </c>
      <c r="B7" s="6" t="n">
        <v>740.95</v>
      </c>
    </row>
    <row r="8" customFormat="false" ht="15" hidden="false" customHeight="false" outlineLevel="0" collapsed="false">
      <c r="A8" s="4" t="s">
        <v>6</v>
      </c>
      <c r="B8" s="6" t="n">
        <v>3049.14</v>
      </c>
    </row>
    <row r="9" customFormat="false" ht="15" hidden="false" customHeight="false" outlineLevel="0" collapsed="false">
      <c r="A9" s="4" t="s">
        <v>7</v>
      </c>
      <c r="B9" s="7" t="n">
        <f aca="false">B7/B8</f>
        <v>0.243002945092715</v>
      </c>
    </row>
    <row r="11" customFormat="false" ht="15" hidden="false" customHeight="false" outlineLevel="0" collapsed="false">
      <c r="A11" s="8" t="s">
        <v>8</v>
      </c>
      <c r="D11" s="8" t="s">
        <v>9</v>
      </c>
    </row>
    <row r="12" customFormat="false" ht="15" hidden="false" customHeight="false" outlineLevel="0" collapsed="false">
      <c r="A12" s="4" t="s">
        <v>10</v>
      </c>
      <c r="B12" s="9" t="n">
        <f aca="false">(LN(1+B5)-1.8084746873)/0.9751638834</f>
        <v>1.66691214149323</v>
      </c>
      <c r="D12" s="4" t="s">
        <v>11</v>
      </c>
      <c r="E12" s="10" t="n">
        <f aca="false">($B$12--0.655605)^2+($B$13--0.660405)^2+($B$14--0.807509)^2</f>
        <v>13.8955732305084</v>
      </c>
    </row>
    <row r="13" customFormat="false" ht="15" hidden="false" customHeight="false" outlineLevel="0" collapsed="false">
      <c r="A13" s="4" t="s">
        <v>12</v>
      </c>
      <c r="B13" s="9" t="n">
        <f aca="false">(LN(1+B6)-2.6686634484)/0.7521638052</f>
        <v>0.913614596640363</v>
      </c>
      <c r="D13" s="4" t="s">
        <v>13</v>
      </c>
      <c r="E13" s="10" t="n">
        <f aca="false">($B$12--0.636242)^2+($B$13-1.118048)^2+($B$14--0.205348)^2</f>
        <v>8.77700345526014</v>
      </c>
    </row>
    <row r="14" customFormat="false" ht="15" hidden="false" customHeight="false" outlineLevel="0" collapsed="false">
      <c r="A14" s="4" t="s">
        <v>14</v>
      </c>
      <c r="B14" s="9" t="n">
        <f aca="false">(LN(MAX(B9,0.0001))--3.7806973644)/1.436678934</f>
        <v>1.64686457942319</v>
      </c>
      <c r="D14" s="4" t="s">
        <v>15</v>
      </c>
      <c r="E14" s="10" t="n">
        <f aca="false">($B$12-0.629832)^2+($B$13--0.47263)^2+($B$14-0.453551)^2</f>
        <v>4.42120660043001</v>
      </c>
    </row>
    <row r="15" customFormat="false" ht="15" hidden="false" customHeight="false" outlineLevel="0" collapsed="false">
      <c r="D15" s="4" t="s">
        <v>16</v>
      </c>
      <c r="E15" s="10" t="n">
        <f aca="false">($B$12-1.671879)^2+($B$13-0.974037)^2+($B$14-1.758063)^2</f>
        <v>0.016040625249957</v>
      </c>
    </row>
    <row r="17" customFormat="false" ht="15" hidden="false" customHeight="false" outlineLevel="0" collapsed="false">
      <c r="D17" s="11" t="s">
        <v>17</v>
      </c>
      <c r="E17" s="3" t="str">
        <f aca="false">INDEX($D$12:$D$15,MATCH(MIN($E$12:$E$15),$E$12:$E$15,0))</f>
        <v>4 · Intensivo</v>
      </c>
    </row>
    <row r="19" customFormat="false" ht="15" hidden="false" customHeight="false" outlineLevel="0" collapsed="false">
      <c r="A19" s="3" t="s">
        <v>18</v>
      </c>
      <c r="C19" s="8" t="s">
        <v>19</v>
      </c>
    </row>
    <row r="20" customFormat="false" ht="15" hidden="false" customHeight="false" outlineLevel="0" collapsed="false">
      <c r="A20" s="4" t="s">
        <v>20</v>
      </c>
      <c r="B20" s="12" t="n">
        <v>0.44</v>
      </c>
      <c r="C20" s="10" t="n">
        <f aca="false">(B20-0.3175461077)/0.1169892386</f>
        <v>1.04671073823024</v>
      </c>
    </row>
    <row r="21" customFormat="false" ht="15" hidden="false" customHeight="false" outlineLevel="0" collapsed="false">
      <c r="A21" s="4" t="s">
        <v>21</v>
      </c>
      <c r="B21" s="13" t="n">
        <v>2.11</v>
      </c>
      <c r="C21" s="10" t="n">
        <f aca="false">(LN(MAX(B21,0.0001))-0.4642093917)/0.3578308759</f>
        <v>0.789419177642225</v>
      </c>
    </row>
    <row r="22" customFormat="false" ht="15" hidden="false" customHeight="false" outlineLevel="0" collapsed="false">
      <c r="A22" s="4" t="s">
        <v>22</v>
      </c>
      <c r="B22" s="14" t="n">
        <v>7</v>
      </c>
      <c r="C22" s="10" t="n">
        <f aca="false">(LN(1+B22)-1.6299978987)/0.3360338192</f>
        <v>1.33749526773773</v>
      </c>
    </row>
    <row r="23" customFormat="false" ht="15" hidden="false" customHeight="false" outlineLevel="0" collapsed="false">
      <c r="A23" s="4" t="s">
        <v>23</v>
      </c>
      <c r="B23" s="14" t="n">
        <v>13</v>
      </c>
      <c r="C23" s="10" t="n">
        <f aca="false">(LN(1+B23)-2.203409256)/0.5042044747</f>
        <v>0.864030557988339</v>
      </c>
    </row>
    <row r="24" customFormat="false" ht="15" hidden="false" customHeight="false" outlineLevel="0" collapsed="false">
      <c r="A24" s="4" t="s">
        <v>24</v>
      </c>
      <c r="B24" s="12" t="n">
        <v>0.47</v>
      </c>
      <c r="C24" s="10" t="n">
        <f aca="false">(B24-0.4158654286)/0.0736982087</f>
        <v>0.734543923860662</v>
      </c>
    </row>
    <row r="26" customFormat="false" ht="15" hidden="false" customHeight="false" outlineLevel="0" collapsed="false">
      <c r="A26" s="11" t="s">
        <v>25</v>
      </c>
      <c r="B26" s="15" t="n">
        <f aca="false">AVERAGE(C20:C24)</f>
        <v>0.95443993309184</v>
      </c>
    </row>
    <row r="27" customFormat="false" ht="15" hidden="false" customHeight="false" outlineLevel="0" collapsed="false">
      <c r="A27" s="11" t="s">
        <v>26</v>
      </c>
      <c r="B27" s="16" t="str">
        <f aca="false">IF(LEFT($E$17,1)&lt;&gt;"4","Fora do grupo de risco — nenhuma acao",IF($B$26&gt;=0.748692,"ACAO IMEDIATA",IF($B$26&gt;=-0.06181,"ATENCAO","MONITORAR")))</f>
        <v>ACAO IMEDIATA</v>
      </c>
    </row>
    <row r="29" customFormat="false" ht="15" hidden="false" customHeight="false" outlineLevel="0" collapsed="false">
      <c r="A29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3.85" hidden="false" customHeight="false" outlineLevel="0" collapsed="false">
      <c r="A4" s="17" t="s">
        <v>30</v>
      </c>
      <c r="B4" s="17" t="s">
        <v>31</v>
      </c>
      <c r="C4" s="17" t="s">
        <v>32</v>
      </c>
      <c r="D4" s="17" t="s">
        <v>33</v>
      </c>
      <c r="E4" s="17" t="s">
        <v>34</v>
      </c>
      <c r="F4" s="17" t="s">
        <v>35</v>
      </c>
      <c r="G4" s="17" t="s">
        <v>36</v>
      </c>
      <c r="H4" s="17" t="s">
        <v>37</v>
      </c>
      <c r="I4" s="17" t="s">
        <v>38</v>
      </c>
      <c r="J4" s="17" t="s">
        <v>39</v>
      </c>
      <c r="K4" s="17" t="s">
        <v>40</v>
      </c>
      <c r="L4" s="17" t="s">
        <v>41</v>
      </c>
      <c r="M4" s="17" t="s">
        <v>42</v>
      </c>
      <c r="N4" s="17" t="s">
        <v>43</v>
      </c>
      <c r="O4" s="17" t="s">
        <v>44</v>
      </c>
      <c r="P4" s="17" t="s">
        <v>45</v>
      </c>
    </row>
    <row r="5" customFormat="false" ht="15" hidden="false" customHeight="false" outlineLevel="0" collapsed="false">
      <c r="A5" s="18" t="n">
        <v>1</v>
      </c>
      <c r="B5" s="18" t="s">
        <v>46</v>
      </c>
      <c r="C5" s="18" t="n">
        <v>4023</v>
      </c>
      <c r="D5" s="19" t="n">
        <v>0.402541524914949</v>
      </c>
      <c r="E5" s="20" t="n">
        <v>2.166667</v>
      </c>
      <c r="F5" s="21" t="n">
        <v>6.966429</v>
      </c>
      <c r="G5" s="21" t="n">
        <v>16.72</v>
      </c>
      <c r="H5" s="19" t="n">
        <v>0.007455</v>
      </c>
      <c r="I5" s="21" t="n">
        <v>9.22</v>
      </c>
      <c r="J5" s="19" t="n">
        <v>0</v>
      </c>
      <c r="K5" s="22" t="n">
        <v>1.01339</v>
      </c>
      <c r="L5" s="18" t="n">
        <v>2</v>
      </c>
      <c r="M5" s="18" t="n">
        <v>1</v>
      </c>
      <c r="N5" s="21" t="n">
        <v>2247.26</v>
      </c>
      <c r="O5" s="23" t="n">
        <v>257141.88</v>
      </c>
      <c r="P5" s="19" t="n">
        <v>0.0296100618275541</v>
      </c>
    </row>
    <row r="6" customFormat="false" ht="15" hidden="false" customHeight="false" outlineLevel="0" collapsed="false">
      <c r="A6" s="18" t="n">
        <v>2</v>
      </c>
      <c r="B6" s="18" t="s">
        <v>47</v>
      </c>
      <c r="C6" s="18" t="n">
        <v>2101</v>
      </c>
      <c r="D6" s="19" t="n">
        <v>0.210226135681409</v>
      </c>
      <c r="E6" s="20" t="n">
        <v>2</v>
      </c>
      <c r="F6" s="21" t="n">
        <v>29.198621</v>
      </c>
      <c r="G6" s="21" t="n">
        <v>62.791667</v>
      </c>
      <c r="H6" s="19" t="n">
        <v>0.016413</v>
      </c>
      <c r="I6" s="21" t="n">
        <v>36.045</v>
      </c>
      <c r="J6" s="19" t="n">
        <v>0.025</v>
      </c>
      <c r="K6" s="22" t="n">
        <v>1.084101</v>
      </c>
      <c r="L6" s="18" t="n">
        <v>2</v>
      </c>
      <c r="M6" s="18" t="n">
        <v>1</v>
      </c>
      <c r="N6" s="21" t="n">
        <v>3974.78</v>
      </c>
      <c r="O6" s="23" t="n">
        <v>689763.71</v>
      </c>
      <c r="P6" s="19" t="n">
        <v>0.079426758875307</v>
      </c>
    </row>
    <row r="7" customFormat="false" ht="15" hidden="false" customHeight="false" outlineLevel="0" collapsed="false">
      <c r="A7" s="18" t="n">
        <v>3</v>
      </c>
      <c r="B7" s="18" t="s">
        <v>48</v>
      </c>
      <c r="C7" s="18" t="n">
        <v>2393</v>
      </c>
      <c r="D7" s="19" t="n">
        <v>0.23944366619972</v>
      </c>
      <c r="E7" s="20" t="n">
        <v>9.166667</v>
      </c>
      <c r="F7" s="21" t="n">
        <v>8.670513</v>
      </c>
      <c r="G7" s="21" t="n">
        <v>86.146667</v>
      </c>
      <c r="H7" s="19" t="n">
        <v>0.039368</v>
      </c>
      <c r="I7" s="21" t="n">
        <v>48.368333</v>
      </c>
      <c r="J7" s="19" t="n">
        <v>0.127273</v>
      </c>
      <c r="K7" s="22" t="n">
        <v>1.077947</v>
      </c>
      <c r="L7" s="18" t="n">
        <v>2</v>
      </c>
      <c r="M7" s="18" t="n">
        <v>3</v>
      </c>
      <c r="N7" s="21" t="n">
        <v>2056.83</v>
      </c>
      <c r="O7" s="23" t="n">
        <v>932991.71</v>
      </c>
      <c r="P7" s="19" t="n">
        <v>0.107434627987069</v>
      </c>
    </row>
    <row r="8" customFormat="false" ht="15" hidden="false" customHeight="false" outlineLevel="0" collapsed="false">
      <c r="A8" s="18" t="n">
        <v>4</v>
      </c>
      <c r="B8" s="18" t="s">
        <v>49</v>
      </c>
      <c r="C8" s="18" t="n">
        <v>1477</v>
      </c>
      <c r="D8" s="19" t="n">
        <v>0.147788673203922</v>
      </c>
      <c r="E8" s="20" t="n">
        <v>30</v>
      </c>
      <c r="F8" s="21" t="n">
        <v>27.668615</v>
      </c>
      <c r="G8" s="21" t="n">
        <v>740.946667</v>
      </c>
      <c r="H8" s="19" t="n">
        <v>0.27676</v>
      </c>
      <c r="I8" s="21" t="n">
        <v>446.933333</v>
      </c>
      <c r="J8" s="19" t="n">
        <v>0.321429</v>
      </c>
      <c r="K8" s="22" t="n">
        <v>1.603295</v>
      </c>
      <c r="L8" s="18" t="n">
        <v>4</v>
      </c>
      <c r="M8" s="18" t="n">
        <v>8</v>
      </c>
      <c r="N8" s="21" t="n">
        <v>3049.14</v>
      </c>
      <c r="O8" s="23" t="n">
        <v>6804376.36</v>
      </c>
      <c r="P8" s="19" t="n">
        <v>0.78352855131007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7" t="s">
        <v>52</v>
      </c>
      <c r="B4" s="17" t="s">
        <v>32</v>
      </c>
      <c r="C4" s="17" t="s">
        <v>37</v>
      </c>
      <c r="D4" s="17" t="s">
        <v>38</v>
      </c>
      <c r="E4" s="17" t="s">
        <v>39</v>
      </c>
      <c r="F4" s="17" t="s">
        <v>40</v>
      </c>
      <c r="G4" s="17" t="s">
        <v>41</v>
      </c>
      <c r="H4" s="17" t="s">
        <v>53</v>
      </c>
    </row>
    <row r="5" customFormat="false" ht="15" hidden="false" customHeight="false" outlineLevel="0" collapsed="false">
      <c r="A5" s="18" t="s">
        <v>54</v>
      </c>
      <c r="B5" s="18" t="n">
        <v>739</v>
      </c>
      <c r="C5" s="19" t="n">
        <v>0.161492</v>
      </c>
      <c r="D5" s="21" t="n">
        <v>287.161667</v>
      </c>
      <c r="E5" s="19" t="n">
        <v>0.226087</v>
      </c>
      <c r="F5" s="22" t="n">
        <v>1.350647</v>
      </c>
      <c r="G5" s="18" t="n">
        <v>3</v>
      </c>
      <c r="H5" s="19" t="n">
        <v>0.0081190798376184</v>
      </c>
    </row>
    <row r="6" customFormat="false" ht="15" hidden="false" customHeight="false" outlineLevel="0" collapsed="false">
      <c r="A6" s="18" t="s">
        <v>55</v>
      </c>
      <c r="B6" s="18" t="n">
        <v>442</v>
      </c>
      <c r="C6" s="19" t="n">
        <v>0.465497</v>
      </c>
      <c r="D6" s="21" t="n">
        <v>696.8725</v>
      </c>
      <c r="E6" s="19" t="n">
        <v>0.3863535</v>
      </c>
      <c r="F6" s="22" t="n">
        <v>1.746845</v>
      </c>
      <c r="G6" s="18" t="n">
        <v>5</v>
      </c>
      <c r="H6" s="19" t="n">
        <v>0.880090497737557</v>
      </c>
    </row>
    <row r="7" customFormat="false" ht="15" hidden="false" customHeight="false" outlineLevel="0" collapsed="false">
      <c r="A7" s="18" t="s">
        <v>56</v>
      </c>
      <c r="B7" s="18" t="n">
        <v>296</v>
      </c>
      <c r="C7" s="19" t="n">
        <v>0.535554</v>
      </c>
      <c r="D7" s="21" t="n">
        <v>890.7866665</v>
      </c>
      <c r="E7" s="19" t="n">
        <v>0.440753</v>
      </c>
      <c r="F7" s="22" t="n">
        <v>2.111165</v>
      </c>
      <c r="G7" s="18" t="n">
        <v>7</v>
      </c>
      <c r="H7" s="19" t="n">
        <v>1</v>
      </c>
    </row>
    <row r="9" customFormat="false" ht="15" hidden="false" customHeight="false" outlineLevel="0" collapsed="false">
      <c r="A9" s="3" t="s">
        <v>57</v>
      </c>
    </row>
    <row r="10" customFormat="false" ht="15" hidden="false" customHeight="false" outlineLevel="0" collapsed="false">
      <c r="A10" s="8" t="s">
        <v>54</v>
      </c>
      <c r="B10" s="4" t="s">
        <v>58</v>
      </c>
    </row>
    <row r="11" customFormat="false" ht="15" hidden="false" customHeight="false" outlineLevel="0" collapsed="false">
      <c r="A11" s="8" t="s">
        <v>55</v>
      </c>
      <c r="B11" s="4" t="s">
        <v>59</v>
      </c>
    </row>
    <row r="12" customFormat="false" ht="15" hidden="false" customHeight="false" outlineLevel="0" collapsed="false">
      <c r="A12" s="8" t="s">
        <v>56</v>
      </c>
      <c r="B12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</row>
    <row r="5" customFormat="false" ht="15" hidden="false" customHeight="false" outlineLevel="0" collapsed="false">
      <c r="A5" s="17" t="s">
        <v>64</v>
      </c>
      <c r="B5" s="17" t="s">
        <v>65</v>
      </c>
      <c r="C5" s="17" t="s">
        <v>66</v>
      </c>
      <c r="D5" s="17" t="s">
        <v>67</v>
      </c>
    </row>
    <row r="6" customFormat="false" ht="15" hidden="false" customHeight="false" outlineLevel="0" collapsed="false">
      <c r="A6" s="18" t="s">
        <v>34</v>
      </c>
      <c r="B6" s="18" t="s">
        <v>68</v>
      </c>
      <c r="C6" s="24" t="n">
        <v>1.80847468726941</v>
      </c>
      <c r="D6" s="24" t="n">
        <v>0.975163883364924</v>
      </c>
    </row>
    <row r="7" customFormat="false" ht="15" hidden="false" customHeight="false" outlineLevel="0" collapsed="false">
      <c r="A7" s="18" t="s">
        <v>35</v>
      </c>
      <c r="B7" s="18" t="s">
        <v>68</v>
      </c>
      <c r="C7" s="24" t="n">
        <v>2.66866344836172</v>
      </c>
      <c r="D7" s="24" t="n">
        <v>0.75216380521263</v>
      </c>
    </row>
    <row r="8" customFormat="false" ht="15" hidden="false" customHeight="false" outlineLevel="0" collapsed="false">
      <c r="A8" s="18" t="s">
        <v>37</v>
      </c>
      <c r="B8" s="18" t="s">
        <v>69</v>
      </c>
      <c r="C8" s="24" t="n">
        <v>-3.78069736436768</v>
      </c>
      <c r="D8" s="24" t="n">
        <v>1.43667893396878</v>
      </c>
    </row>
    <row r="10" customFormat="false" ht="15" hidden="false" customHeight="false" outlineLevel="0" collapsed="false">
      <c r="A10" s="3" t="s">
        <v>70</v>
      </c>
    </row>
    <row r="11" customFormat="false" ht="15" hidden="false" customHeight="false" outlineLevel="0" collapsed="false">
      <c r="A11" s="17" t="s">
        <v>30</v>
      </c>
      <c r="B11" s="17" t="s">
        <v>31</v>
      </c>
      <c r="C11" s="17" t="s">
        <v>34</v>
      </c>
      <c r="D11" s="17" t="s">
        <v>35</v>
      </c>
      <c r="E11" s="17" t="s">
        <v>37</v>
      </c>
    </row>
    <row r="12" customFormat="false" ht="15" hidden="false" customHeight="false" outlineLevel="0" collapsed="false">
      <c r="A12" s="18" t="n">
        <v>1</v>
      </c>
      <c r="B12" s="18" t="s">
        <v>46</v>
      </c>
      <c r="C12" s="25" t="n">
        <v>-0.655605310401663</v>
      </c>
      <c r="D12" s="25" t="n">
        <v>-0.660405392676588</v>
      </c>
      <c r="E12" s="25" t="n">
        <v>-0.807508628596072</v>
      </c>
    </row>
    <row r="13" customFormat="false" ht="15" hidden="false" customHeight="false" outlineLevel="0" collapsed="false">
      <c r="A13" s="18" t="n">
        <v>2</v>
      </c>
      <c r="B13" s="18" t="s">
        <v>47</v>
      </c>
      <c r="C13" s="25" t="n">
        <v>-0.636242094934593</v>
      </c>
      <c r="D13" s="25" t="n">
        <v>1.11804769967259</v>
      </c>
      <c r="E13" s="25" t="n">
        <v>-0.205348358390933</v>
      </c>
    </row>
    <row r="14" customFormat="false" ht="15" hidden="false" customHeight="false" outlineLevel="0" collapsed="false">
      <c r="A14" s="18" t="n">
        <v>3</v>
      </c>
      <c r="B14" s="18" t="s">
        <v>48</v>
      </c>
      <c r="C14" s="25" t="n">
        <v>0.629831971836242</v>
      </c>
      <c r="D14" s="25" t="n">
        <v>-0.472630288903614</v>
      </c>
      <c r="E14" s="25" t="n">
        <v>0.453551370092315</v>
      </c>
    </row>
    <row r="15" customFormat="false" ht="15" hidden="false" customHeight="false" outlineLevel="0" collapsed="false">
      <c r="A15" s="18" t="n">
        <v>4</v>
      </c>
      <c r="B15" s="18" t="s">
        <v>49</v>
      </c>
      <c r="C15" s="25" t="n">
        <v>1.67187882025357</v>
      </c>
      <c r="D15" s="25" t="n">
        <v>0.974037202826881</v>
      </c>
      <c r="E15" s="25" t="n">
        <v>1.75806303085965</v>
      </c>
    </row>
    <row r="17" customFormat="false" ht="15" hidden="false" customHeight="false" outlineLevel="0" collapsed="false">
      <c r="A17" s="3" t="s">
        <v>71</v>
      </c>
    </row>
    <row r="18" customFormat="false" ht="15" hidden="false" customHeight="false" outlineLevel="0" collapsed="false">
      <c r="A18" s="17" t="s">
        <v>72</v>
      </c>
      <c r="B18" s="17" t="s">
        <v>65</v>
      </c>
      <c r="C18" s="17" t="s">
        <v>66</v>
      </c>
      <c r="D18" s="17" t="s">
        <v>67</v>
      </c>
    </row>
    <row r="19" customFormat="false" ht="15" hidden="false" customHeight="false" outlineLevel="0" collapsed="false">
      <c r="A19" s="18" t="s">
        <v>39</v>
      </c>
      <c r="B19" s="18" t="s">
        <v>73</v>
      </c>
      <c r="C19" s="24" t="n">
        <v>0.317546107650643</v>
      </c>
      <c r="D19" s="24" t="n">
        <v>0.116989238578084</v>
      </c>
    </row>
    <row r="20" customFormat="false" ht="15" hidden="false" customHeight="false" outlineLevel="0" collapsed="false">
      <c r="A20" s="18" t="s">
        <v>40</v>
      </c>
      <c r="B20" s="18" t="s">
        <v>69</v>
      </c>
      <c r="C20" s="24" t="n">
        <v>0.464209391705332</v>
      </c>
      <c r="D20" s="24" t="n">
        <v>0.357830875887816</v>
      </c>
    </row>
    <row r="21" customFormat="false" ht="15" hidden="false" customHeight="false" outlineLevel="0" collapsed="false">
      <c r="A21" s="18" t="s">
        <v>41</v>
      </c>
      <c r="B21" s="18" t="s">
        <v>68</v>
      </c>
      <c r="C21" s="24" t="n">
        <v>1.6299978987015</v>
      </c>
      <c r="D21" s="24" t="n">
        <v>0.336033819231529</v>
      </c>
    </row>
    <row r="22" customFormat="false" ht="15" hidden="false" customHeight="false" outlineLevel="0" collapsed="false">
      <c r="A22" s="18" t="s">
        <v>42</v>
      </c>
      <c r="B22" s="18" t="s">
        <v>68</v>
      </c>
      <c r="C22" s="24" t="n">
        <v>2.20340925602165</v>
      </c>
      <c r="D22" s="24" t="n">
        <v>0.504204474740497</v>
      </c>
    </row>
    <row r="23" customFormat="false" ht="15" hidden="false" customHeight="false" outlineLevel="0" collapsed="false">
      <c r="A23" s="18" t="s">
        <v>74</v>
      </c>
      <c r="B23" s="18" t="s">
        <v>73</v>
      </c>
      <c r="C23" s="24" t="n">
        <v>0.415865428571429</v>
      </c>
      <c r="D23" s="24" t="n">
        <v>0.0736982086844579</v>
      </c>
    </row>
    <row r="25" customFormat="false" ht="15" hidden="false" customHeight="false" outlineLevel="0" collapsed="false">
      <c r="A25" s="3" t="s">
        <v>75</v>
      </c>
    </row>
    <row r="26" customFormat="false" ht="15" hidden="false" customHeight="false" outlineLevel="0" collapsed="false">
      <c r="A26" s="17" t="s">
        <v>76</v>
      </c>
      <c r="B26" s="17" t="s">
        <v>77</v>
      </c>
      <c r="C26" s="17" t="s">
        <v>78</v>
      </c>
    </row>
    <row r="27" customFormat="false" ht="15" hidden="false" customHeight="false" outlineLevel="0" collapsed="false">
      <c r="A27" s="18" t="s">
        <v>54</v>
      </c>
      <c r="B27" s="25" t="n">
        <v>-2.67881325890555</v>
      </c>
      <c r="C27" s="25" t="n">
        <v>-0.0618100583365778</v>
      </c>
    </row>
    <row r="28" customFormat="false" ht="15" hidden="false" customHeight="false" outlineLevel="0" collapsed="false">
      <c r="A28" s="18" t="s">
        <v>55</v>
      </c>
      <c r="B28" s="25" t="n">
        <v>-0.0618100583365778</v>
      </c>
      <c r="C28" s="25" t="n">
        <v>0.748692111928026</v>
      </c>
    </row>
    <row r="29" customFormat="false" ht="15" hidden="false" customHeight="false" outlineLevel="0" collapsed="false">
      <c r="A29" s="18" t="s">
        <v>56</v>
      </c>
      <c r="B29" s="25" t="n">
        <v>0.748692111928026</v>
      </c>
      <c r="C29" s="25" t="n">
        <v>1.51622386898192</v>
      </c>
    </row>
    <row r="31" customFormat="false" ht="15" hidden="false" customHeight="false" outlineLevel="0" collapsed="false">
      <c r="A31" s="3" t="s">
        <v>79</v>
      </c>
    </row>
    <row r="32" customFormat="false" ht="15" hidden="false" customHeight="false" outlineLevel="0" collapsed="false">
      <c r="A32" s="17" t="s">
        <v>72</v>
      </c>
      <c r="B32" s="17" t="s">
        <v>80</v>
      </c>
    </row>
    <row r="33" customFormat="false" ht="15" hidden="false" customHeight="false" outlineLevel="0" collapsed="false">
      <c r="A33" s="18" t="s">
        <v>39</v>
      </c>
      <c r="B33" s="25" t="n">
        <v>0.96784908106038</v>
      </c>
    </row>
    <row r="34" customFormat="false" ht="15" hidden="false" customHeight="false" outlineLevel="0" collapsed="false">
      <c r="A34" s="18" t="s">
        <v>42</v>
      </c>
      <c r="B34" s="25" t="n">
        <v>0.964064508051539</v>
      </c>
    </row>
    <row r="35" customFormat="false" ht="15" hidden="false" customHeight="false" outlineLevel="0" collapsed="false">
      <c r="A35" s="18" t="s">
        <v>37</v>
      </c>
      <c r="B35" s="25" t="n">
        <v>0.963527800178964</v>
      </c>
    </row>
    <row r="36" customFormat="false" ht="15" hidden="false" customHeight="false" outlineLevel="0" collapsed="false">
      <c r="A36" s="18" t="s">
        <v>74</v>
      </c>
      <c r="B36" s="25" t="n">
        <v>0.895336441267772</v>
      </c>
    </row>
    <row r="37" customFormat="false" ht="15" hidden="false" customHeight="false" outlineLevel="0" collapsed="false">
      <c r="A37" s="18" t="s">
        <v>41</v>
      </c>
      <c r="B37" s="25" t="n">
        <v>0.828166944686868</v>
      </c>
    </row>
    <row r="38" customFormat="false" ht="15" hidden="false" customHeight="false" outlineLevel="0" collapsed="false">
      <c r="A38" s="18" t="s">
        <v>40</v>
      </c>
      <c r="B38" s="25" t="n">
        <v>0.741288393485121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81</v>
      </c>
    </row>
    <row r="3" customFormat="false" ht="15" hidden="false" customHeight="false" outlineLevel="0" collapsed="false">
      <c r="A3" s="8" t="s">
        <v>82</v>
      </c>
      <c r="B3" s="26" t="s">
        <v>83</v>
      </c>
    </row>
    <row r="4" customFormat="false" ht="15" hidden="false" customHeight="false" outlineLevel="0" collapsed="false">
      <c r="A4" s="8" t="s">
        <v>84</v>
      </c>
      <c r="B4" s="26" t="s">
        <v>85</v>
      </c>
    </row>
    <row r="5" customFormat="false" ht="15" hidden="false" customHeight="false" outlineLevel="0" collapsed="false">
      <c r="A5" s="8" t="s">
        <v>86</v>
      </c>
      <c r="B5" s="26" t="s">
        <v>87</v>
      </c>
    </row>
    <row r="6" customFormat="false" ht="15" hidden="false" customHeight="false" outlineLevel="0" collapsed="false">
      <c r="A6" s="8" t="s">
        <v>88</v>
      </c>
      <c r="B6" s="26" t="s">
        <v>89</v>
      </c>
    </row>
    <row r="7" customFormat="false" ht="15" hidden="false" customHeight="false" outlineLevel="0" collapsed="false">
      <c r="A7" s="4"/>
      <c r="B7" s="26"/>
    </row>
    <row r="8" customFormat="false" ht="15" hidden="false" customHeight="false" outlineLevel="0" collapsed="false">
      <c r="A8" s="8" t="s">
        <v>90</v>
      </c>
      <c r="B8" s="26" t="s">
        <v>91</v>
      </c>
    </row>
    <row r="9" customFormat="false" ht="15" hidden="false" customHeight="false" outlineLevel="0" collapsed="false">
      <c r="A9" s="8" t="s">
        <v>92</v>
      </c>
      <c r="B9" s="26" t="s">
        <v>93</v>
      </c>
    </row>
    <row r="10" customFormat="false" ht="15" hidden="false" customHeight="false" outlineLevel="0" collapsed="false">
      <c r="A10" s="8" t="s">
        <v>94</v>
      </c>
      <c r="B10" s="26" t="s">
        <v>95</v>
      </c>
    </row>
    <row r="11" customFormat="false" ht="15" hidden="false" customHeight="false" outlineLevel="0" collapsed="false">
      <c r="A11" s="8" t="s">
        <v>96</v>
      </c>
      <c r="B11" s="26" t="s">
        <v>97</v>
      </c>
    </row>
    <row r="12" customFormat="false" ht="15" hidden="false" customHeight="false" outlineLevel="0" collapsed="false">
      <c r="A12" s="4"/>
      <c r="B12" s="26"/>
    </row>
    <row r="13" customFormat="false" ht="15" hidden="false" customHeight="false" outlineLevel="0" collapsed="false">
      <c r="A13" s="8" t="s">
        <v>98</v>
      </c>
      <c r="B13" s="26" t="s">
        <v>99</v>
      </c>
    </row>
    <row r="14" customFormat="false" ht="15" hidden="false" customHeight="false" outlineLevel="0" collapsed="false">
      <c r="A14" s="8" t="s">
        <v>100</v>
      </c>
      <c r="B14" s="26" t="s">
        <v>101</v>
      </c>
    </row>
    <row r="15" customFormat="false" ht="15" hidden="false" customHeight="false" outlineLevel="0" collapsed="false">
      <c r="A15" s="8" t="s">
        <v>102</v>
      </c>
      <c r="B15" s="26" t="s">
        <v>103</v>
      </c>
    </row>
    <row r="16" customFormat="false" ht="15" hidden="false" customHeight="false" outlineLevel="0" collapsed="false">
      <c r="A16" s="8" t="s">
        <v>104</v>
      </c>
      <c r="B16" s="26" t="s">
        <v>105</v>
      </c>
    </row>
    <row r="17" customFormat="false" ht="15" hidden="false" customHeight="false" outlineLevel="0" collapsed="false">
      <c r="A17" s="8" t="s">
        <v>106</v>
      </c>
      <c r="B17" s="26" t="s">
        <v>107</v>
      </c>
    </row>
    <row r="18" customFormat="false" ht="15" hidden="false" customHeight="false" outlineLevel="0" collapsed="false">
      <c r="A18" s="8" t="s">
        <v>108</v>
      </c>
      <c r="B18" s="26" t="s">
        <v>109</v>
      </c>
    </row>
    <row r="19" customFormat="false" ht="15" hidden="false" customHeight="false" outlineLevel="0" collapsed="false">
      <c r="A19" s="8" t="s">
        <v>110</v>
      </c>
      <c r="B19" s="26" t="s">
        <v>111</v>
      </c>
    </row>
    <row r="20" customFormat="false" ht="15" hidden="false" customHeight="false" outlineLevel="0" collapsed="false">
      <c r="A20" s="4"/>
      <c r="B20" s="26"/>
    </row>
    <row r="21" customFormat="false" ht="15" hidden="false" customHeight="false" outlineLevel="0" collapsed="false">
      <c r="A21" s="8" t="s">
        <v>112</v>
      </c>
      <c r="B21" s="26" t="s">
        <v>113</v>
      </c>
    </row>
    <row r="22" customFormat="false" ht="15" hidden="false" customHeight="false" outlineLevel="0" collapsed="false">
      <c r="A22" s="4"/>
      <c r="B22" s="26"/>
    </row>
    <row r="23" customFormat="false" ht="15" hidden="false" customHeight="false" outlineLevel="0" collapsed="false">
      <c r="A23" s="8" t="s">
        <v>114</v>
      </c>
      <c r="B23" s="26" t="s">
        <v>115</v>
      </c>
    </row>
    <row r="24" customFormat="false" ht="15" hidden="false" customHeight="false" outlineLevel="0" collapsed="false">
      <c r="A24" s="8" t="s">
        <v>116</v>
      </c>
      <c r="B24" s="26" t="s">
        <v>117</v>
      </c>
    </row>
    <row r="25" customFormat="false" ht="15" hidden="false" customHeight="false" outlineLevel="0" collapsed="false">
      <c r="A25" s="8" t="s">
        <v>118</v>
      </c>
      <c r="B25" s="26" t="s">
        <v>119</v>
      </c>
    </row>
    <row r="26" customFormat="false" ht="15" hidden="false" customHeight="false" outlineLevel="0" collapsed="false">
      <c r="A26" s="8" t="s">
        <v>120</v>
      </c>
      <c r="B26" s="26" t="s">
        <v>121</v>
      </c>
    </row>
    <row r="27" customFormat="false" ht="15" hidden="false" customHeight="false" outlineLevel="0" collapsed="false">
      <c r="A27" s="4"/>
      <c r="B27" s="26"/>
    </row>
    <row r="28" customFormat="false" ht="15" hidden="false" customHeight="false" outlineLevel="0" collapsed="false">
      <c r="A28" s="8" t="s">
        <v>122</v>
      </c>
      <c r="B28" s="26" t="s">
        <v>123</v>
      </c>
    </row>
    <row r="29" customFormat="false" ht="15" hidden="false" customHeight="false" outlineLevel="0" collapsed="false">
      <c r="A29" s="8" t="s">
        <v>124</v>
      </c>
      <c r="B29" s="26" t="s">
        <v>125</v>
      </c>
    </row>
    <row r="30" customFormat="false" ht="15" hidden="false" customHeight="false" outlineLevel="0" collapsed="false">
      <c r="A30" s="8" t="s">
        <v>126</v>
      </c>
      <c r="B30" s="2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2026-08-31T17:19:10Z</dcterms:created>
  <dc:creator>openpyxl</dc:creator>
  <dc:description/>
  <dc:language>en-US</dc:language>
  <cp:lastModifiedBy/>
  <dcterms:modified xsi:type="dcterms:W3CDTF">2026-08-31T17:19:10Z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